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970" yWindow="180" windowWidth="27015" windowHeight="14835" tabRatio="600" firstSheet="0" activeTab="0" autoFilterDateGrouping="1"/>
  </bookViews>
  <sheets>
    <sheet xmlns:r="http://schemas.openxmlformats.org/officeDocument/2006/relationships" name="2026년 1분기" sheetId="1" state="visible" r:id="rId1"/>
  </sheets>
  <definedNames>
    <definedName name="_xlnm.Print_Area" localSheetId="0">'2026년 1분기'!$A$1:$E$71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_-* #,##0.00_-;\-* #,##0.00_-;_-* &quot;-&quot;??_-;_-@_-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11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4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1">
      <alignment vertical="center"/>
    </xf>
    <xf numFmtId="0" fontId="0" fillId="2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 wrapText="1"/>
    </xf>
    <xf numFmtId="164" fontId="0" fillId="0" borderId="0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4" fillId="0" borderId="2" applyAlignment="1" pivotButton="0" quotePrefix="0" xfId="2">
      <alignment vertical="center"/>
    </xf>
    <xf numFmtId="0" fontId="0" fillId="0" borderId="3" applyAlignment="1" pivotButton="0" quotePrefix="0" xfId="0">
      <alignment horizontal="center" vertical="center"/>
    </xf>
    <xf numFmtId="164" fontId="0" fillId="4" borderId="2" applyAlignment="1" pivotButton="0" quotePrefix="0" xfId="1">
      <alignment vertical="center"/>
    </xf>
    <xf numFmtId="164" fontId="0" fillId="2" borderId="2" applyAlignment="1" pivotButton="0" quotePrefix="0" xfId="1">
      <alignment vertical="center"/>
    </xf>
    <xf numFmtId="164" fontId="0" fillId="3" borderId="2" applyAlignment="1" pivotButton="0" quotePrefix="0" xfId="1">
      <alignment vertical="center"/>
    </xf>
    <xf numFmtId="164" fontId="0" fillId="0" borderId="2" applyAlignment="1" pivotButton="0" quotePrefix="0" xfId="1">
      <alignment vertical="center"/>
    </xf>
    <xf numFmtId="164" fontId="5" fillId="3" borderId="2" applyAlignment="1" pivotButton="0" quotePrefix="0" xfId="1">
      <alignment vertical="center"/>
    </xf>
    <xf numFmtId="0" fontId="5" fillId="0" borderId="2" applyAlignment="1" pivotButton="0" quotePrefix="0" xfId="2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0" fontId="0" fillId="0" borderId="1" pivotButton="0" quotePrefix="0" xfId="0"/>
    <xf numFmtId="164" fontId="0" fillId="0" borderId="2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0" fillId="3" borderId="2" applyAlignment="1" pivotButton="0" quotePrefix="0" xfId="1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9" pivotButton="0" quotePrefix="0" xfId="0"/>
    <xf numFmtId="164" fontId="5" fillId="3" borderId="2" applyAlignment="1" pivotButton="0" quotePrefix="0" xfId="1">
      <alignment vertical="center"/>
    </xf>
    <xf numFmtId="0" fontId="0" fillId="4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8" pivotButton="0" quotePrefix="0" xfId="0"/>
    <xf numFmtId="164" fontId="0" fillId="4" borderId="2" applyAlignment="1" pivotButton="0" quotePrefix="0" xfId="1">
      <alignment vertical="center"/>
    </xf>
    <xf numFmtId="165" fontId="0" fillId="0" borderId="2" applyAlignment="1" pivotButton="0" quotePrefix="0" xfId="0">
      <alignment vertical="center"/>
    </xf>
    <xf numFmtId="0" fontId="0" fillId="0" borderId="4" pivotButton="0" quotePrefix="0" xfId="0"/>
    <xf numFmtId="164" fontId="0" fillId="2" borderId="2" applyAlignment="1" pivotButton="0" quotePrefix="0" xfId="1">
      <alignment vertical="center"/>
    </xf>
  </cellXfs>
  <cellStyles count="3">
    <cellStyle name="표준" xfId="0" builtinId="0"/>
    <cellStyle name="쉼표 [0]" xfId="1" builtinId="6"/>
    <cellStyle name="하이퍼링크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view="pageBreakPreview" zoomScale="115" zoomScaleNormal="100" zoomScaleSheetLayoutView="115" workbookViewId="0">
      <selection activeCell="C10" sqref="C10"/>
    </sheetView>
  </sheetViews>
  <sheetFormatPr baseColWidth="8" defaultRowHeight="16.5"/>
  <cols>
    <col width="18.75" bestFit="1" customWidth="1" style="35" min="1" max="1"/>
    <col width="17.5" bestFit="1" customWidth="1" style="35" min="2" max="2"/>
    <col width="19" bestFit="1" customWidth="1" style="35" min="3" max="3"/>
    <col width="19.875" customWidth="1" style="36" min="4" max="4"/>
    <col width="69.5" customWidth="1" style="35" min="5" max="5"/>
    <col width="13" bestFit="1" customWidth="1" style="35" min="6" max="7"/>
    <col width="13.375" customWidth="1" style="35" min="8" max="8"/>
    <col width="11" bestFit="1" customWidth="1" style="35" min="9" max="9"/>
    <col width="12.125" bestFit="1" customWidth="1" style="35" min="10" max="10"/>
  </cols>
  <sheetData>
    <row r="1" ht="29.65" customHeight="1" s="35">
      <c r="B1" s="0" t="inlineStr">
        <is>
          <t>2026년 1분기 판매금액 결제수단 별 정리</t>
        </is>
      </c>
    </row>
    <row r="2">
      <c r="A2" s="0" t="inlineStr">
        <is>
          <t>브랜드</t>
        </is>
      </c>
      <c r="B2" s="0" t="inlineStr">
        <is>
          <t>PG / 스토어</t>
        </is>
      </c>
      <c r="C2" s="0" t="inlineStr">
        <is>
          <t>구분</t>
        </is>
      </c>
      <c r="D2" s="0" t="inlineStr">
        <is>
          <t>금액</t>
        </is>
      </c>
      <c r="E2" s="0" t="inlineStr">
        <is>
          <t>메모</t>
        </is>
      </c>
    </row>
    <row r="3" ht="16.5" customHeight="1" s="35">
      <c r="A3" s="0" t="inlineStr">
        <is>
          <t>머드스콘</t>
        </is>
      </c>
      <c r="B3" s="0" t="inlineStr">
        <is>
          <t>무통장입금</t>
        </is>
      </c>
      <c r="C3" s="0" t="inlineStr">
        <is>
          <t>무통장입금</t>
        </is>
      </c>
      <c r="D3" s="0" t="n">
        <v>-73222</v>
      </c>
    </row>
    <row r="4">
      <c r="B4" s="0" t="inlineStr">
        <is>
          <t>토스페이먼츠</t>
        </is>
      </c>
      <c r="C4" s="0" t="inlineStr">
        <is>
          <t>신용·체크카드</t>
        </is>
      </c>
      <c r="D4" s="0" t="n">
        <v>234749839</v>
      </c>
    </row>
    <row r="5">
      <c r="C5" s="0" t="inlineStr">
        <is>
          <t>현금영수증 자동발행</t>
        </is>
      </c>
      <c r="D5" s="0" t="n">
        <v>49768341</v>
      </c>
    </row>
    <row r="6">
      <c r="C6" s="0" t="inlineStr">
        <is>
          <t>현금영수증 별도발급</t>
        </is>
      </c>
      <c r="D6" s="0" t="n">
        <v>10548870</v>
      </c>
    </row>
    <row r="7">
      <c r="C7" s="0" t="inlineStr">
        <is>
          <t>기타(정규영수증 외 매출분)</t>
        </is>
      </c>
      <c r="D7" s="0" t="n">
        <v>1112869</v>
      </c>
    </row>
    <row r="8">
      <c r="C8" s="0" t="inlineStr">
        <is>
          <t>합계</t>
        </is>
      </c>
      <c r="D8" s="0">
        <f>SUM(D4:D7)</f>
        <v/>
      </c>
    </row>
    <row r="9">
      <c r="B9" s="0" t="inlineStr">
        <is>
          <t>네이버페이(결제형)</t>
        </is>
      </c>
      <c r="C9" s="0" t="inlineStr">
        <is>
          <t>신용카드 매출전표</t>
        </is>
      </c>
    </row>
    <row r="10">
      <c r="C10" s="0" t="inlineStr">
        <is>
          <t>현금영수증(소득공제)</t>
        </is>
      </c>
    </row>
    <row r="11">
      <c r="C11" s="0" t="inlineStr">
        <is>
          <t>현금영수증(지출증빙)</t>
        </is>
      </c>
    </row>
    <row r="12">
      <c r="C12" s="0" t="inlineStr">
        <is>
          <t>현금영수증(발행 제외)</t>
        </is>
      </c>
      <c r="D12" s="0" t="n">
        <v>0</v>
      </c>
    </row>
    <row r="13">
      <c r="C13" s="0" t="inlineStr">
        <is>
          <t>기타</t>
        </is>
      </c>
    </row>
    <row r="14">
      <c r="C14" s="0" t="inlineStr">
        <is>
          <t>합계</t>
        </is>
      </c>
      <c r="D14" s="0">
        <f>SUM(D9:D13)</f>
        <v/>
      </c>
    </row>
    <row r="15">
      <c r="B15" s="0" t="inlineStr">
        <is>
          <t>네이버페이(주문형)</t>
        </is>
      </c>
      <c r="C15" s="0" t="inlineStr">
        <is>
          <t>신용카드 매출전표</t>
        </is>
      </c>
    </row>
    <row r="16">
      <c r="C16" s="0" t="inlineStr">
        <is>
          <t>현금영수증(소득공제)</t>
        </is>
      </c>
    </row>
    <row r="17">
      <c r="C17" s="0" t="inlineStr">
        <is>
          <t>현금영수증(지출증빙)</t>
        </is>
      </c>
    </row>
    <row r="18">
      <c r="C18" s="0" t="inlineStr">
        <is>
          <t>현금영수증(발행 제외)</t>
        </is>
      </c>
      <c r="D18" s="0" t="n">
        <v>0</v>
      </c>
    </row>
    <row r="19">
      <c r="C19" s="0" t="inlineStr">
        <is>
          <t>기타</t>
        </is>
      </c>
    </row>
    <row r="20">
      <c r="C20" s="0" t="inlineStr">
        <is>
          <t>합계</t>
        </is>
      </c>
      <c r="D20" s="0">
        <f>SUM(D15:D19)</f>
        <v/>
      </c>
    </row>
    <row r="21">
      <c r="B21" s="0" t="inlineStr">
        <is>
          <t>네이버
스마트스토어</t>
        </is>
      </c>
      <c r="C21" s="0" t="inlineStr">
        <is>
          <t>신용카드 매출전표</t>
        </is>
      </c>
    </row>
    <row r="22">
      <c r="C22" s="0" t="inlineStr">
        <is>
          <t>현금영수증(소득공제)</t>
        </is>
      </c>
    </row>
    <row r="23">
      <c r="C23" s="0" t="inlineStr">
        <is>
          <t>현금영수증(지출증빙)</t>
        </is>
      </c>
    </row>
    <row r="24">
      <c r="C24" s="0" t="inlineStr">
        <is>
          <t>현금영수증(발행 제외)</t>
        </is>
      </c>
      <c r="D24" s="0" t="n">
        <v>0</v>
      </c>
    </row>
    <row r="25">
      <c r="C25" s="0" t="inlineStr">
        <is>
          <t>기타</t>
        </is>
      </c>
    </row>
    <row r="26">
      <c r="C26" s="0" t="inlineStr">
        <is>
          <t>합계</t>
        </is>
      </c>
      <c r="D26" s="0">
        <f>SUM(D21:D25)</f>
        <v/>
      </c>
    </row>
    <row r="27">
      <c r="B27" s="0" t="inlineStr">
        <is>
          <t>에이블리</t>
        </is>
      </c>
      <c r="C27" s="0" t="inlineStr">
        <is>
          <t>신용카드 발행</t>
        </is>
      </c>
    </row>
    <row r="28">
      <c r="C28" s="0" t="inlineStr">
        <is>
          <t>현금영수증 발행</t>
        </is>
      </c>
    </row>
    <row r="29">
      <c r="C29" s="0" t="inlineStr">
        <is>
          <t>현금 결제</t>
        </is>
      </c>
    </row>
    <row r="30">
      <c r="C30" s="0" t="inlineStr">
        <is>
          <t>휴대폰 결제</t>
        </is>
      </c>
    </row>
    <row r="31">
      <c r="C31" s="0" t="inlineStr">
        <is>
          <t>프로모션 지원금</t>
        </is>
      </c>
    </row>
    <row r="32">
      <c r="C32" s="0" t="inlineStr">
        <is>
          <t>기타</t>
        </is>
      </c>
    </row>
    <row r="33">
      <c r="C33" s="0" t="inlineStr">
        <is>
          <t>합계</t>
        </is>
      </c>
      <c r="D33" s="0">
        <f>SUM(D27:D32)</f>
        <v/>
      </c>
    </row>
    <row r="34">
      <c r="A34" s="0" t="inlineStr">
        <is>
          <t>오터</t>
        </is>
      </c>
      <c r="B34" s="0" t="inlineStr">
        <is>
          <t>KOCES
&amp; 오프라인현금결제</t>
        </is>
      </c>
      <c r="C34" s="0" t="inlineStr">
        <is>
          <t>카드결제</t>
        </is>
      </c>
    </row>
    <row r="35">
      <c r="C35" s="0" t="inlineStr">
        <is>
          <t>간편결제</t>
        </is>
      </c>
    </row>
    <row r="36">
      <c r="C36" s="0" t="inlineStr">
        <is>
          <t>현금영수증</t>
        </is>
      </c>
    </row>
    <row r="37">
      <c r="C37" s="0" t="inlineStr">
        <is>
          <t>합계</t>
        </is>
      </c>
      <c r="D37" s="0">
        <f>SUM(D34:D36)</f>
        <v/>
      </c>
    </row>
    <row r="38">
      <c r="B38" s="0" t="inlineStr">
        <is>
          <t>무통장입금</t>
        </is>
      </c>
      <c r="C38" s="0" t="inlineStr">
        <is>
          <t>무통장입금</t>
        </is>
      </c>
      <c r="D38" s="0" t="n">
        <v>-5255286</v>
      </c>
    </row>
    <row r="39">
      <c r="B39" s="0" t="inlineStr">
        <is>
          <t>토스페이먼츠</t>
        </is>
      </c>
      <c r="C39" s="0" t="inlineStr">
        <is>
          <t>신용·체크카드</t>
        </is>
      </c>
      <c r="D39" s="0" t="n">
        <v>50502902</v>
      </c>
    </row>
    <row r="40">
      <c r="C40" s="0" t="inlineStr">
        <is>
          <t>현금영수증 별도발급</t>
        </is>
      </c>
      <c r="D40" s="0" t="n">
        <v>5255286</v>
      </c>
    </row>
    <row r="41">
      <c r="C41" s="0" t="inlineStr">
        <is>
          <t>기타(정규영수증 외 매출분)</t>
        </is>
      </c>
      <c r="D41" s="0" t="n">
        <v>25490</v>
      </c>
    </row>
    <row r="42">
      <c r="C42" s="0" t="inlineStr">
        <is>
          <t>합계</t>
        </is>
      </c>
      <c r="D42" s="0">
        <f>SUM(D39:D41)</f>
        <v/>
      </c>
    </row>
    <row r="43">
      <c r="B43" s="0" t="inlineStr">
        <is>
          <t>네이버페이(결제형)</t>
        </is>
      </c>
      <c r="C43" s="0" t="inlineStr">
        <is>
          <t>신용카드 매출전표</t>
        </is>
      </c>
    </row>
    <row r="44">
      <c r="C44" s="0" t="inlineStr">
        <is>
          <t>현금영수증(소득공제)</t>
        </is>
      </c>
    </row>
    <row r="45">
      <c r="C45" s="0" t="inlineStr">
        <is>
          <t>현금영수증(지출증빙)</t>
        </is>
      </c>
    </row>
    <row r="46">
      <c r="C46" s="0" t="inlineStr">
        <is>
          <t>현금영수증(발행 제외)</t>
        </is>
      </c>
      <c r="D46" s="0" t="n">
        <v>0</v>
      </c>
    </row>
    <row r="47">
      <c r="C47" s="0" t="inlineStr">
        <is>
          <t>기타</t>
        </is>
      </c>
    </row>
    <row r="48">
      <c r="C48" s="0" t="inlineStr">
        <is>
          <t>합계</t>
        </is>
      </c>
      <c r="D48" s="0">
        <f>SUM(D43:D47)</f>
        <v/>
      </c>
    </row>
    <row r="49">
      <c r="B49" s="0" t="inlineStr">
        <is>
          <t>네이버페이(주문형)</t>
        </is>
      </c>
      <c r="C49" s="0" t="inlineStr">
        <is>
          <t>신용카드 매출전표</t>
        </is>
      </c>
    </row>
    <row r="50">
      <c r="C50" s="0" t="inlineStr">
        <is>
          <t>현금영수증(소득공제)</t>
        </is>
      </c>
    </row>
    <row r="51">
      <c r="C51" s="0" t="inlineStr">
        <is>
          <t>현금영수증(지출증빙)</t>
        </is>
      </c>
    </row>
    <row r="52">
      <c r="C52" s="0" t="inlineStr">
        <is>
          <t>현금영수증(발행 제외)</t>
        </is>
      </c>
      <c r="D52" s="0" t="n">
        <v>0</v>
      </c>
    </row>
    <row r="53">
      <c r="C53" s="0" t="inlineStr">
        <is>
          <t>기타</t>
        </is>
      </c>
    </row>
    <row r="54">
      <c r="C54" s="0" t="inlineStr">
        <is>
          <t>합계</t>
        </is>
      </c>
      <c r="D54" s="0">
        <f>SUM(D49:D53)</f>
        <v/>
      </c>
    </row>
    <row r="55">
      <c r="B55" s="0" t="inlineStr">
        <is>
          <t>쿠팡(중개)</t>
        </is>
      </c>
      <c r="C55" s="0" t="inlineStr">
        <is>
          <t>신용/체크카드 발행 매출</t>
        </is>
      </c>
    </row>
    <row r="56">
      <c r="C56" s="0" t="inlineStr">
        <is>
          <t>현금영수증 발행 매출</t>
        </is>
      </c>
    </row>
    <row r="57" ht="16.5" customHeight="1" s="35">
      <c r="C57" s="0" t="inlineStr">
        <is>
          <t>기타</t>
        </is>
      </c>
    </row>
    <row r="58">
      <c r="C58" s="0" t="inlineStr">
        <is>
          <t>합계</t>
        </is>
      </c>
      <c r="D58" s="0">
        <f>SUM(D55:D57)</f>
        <v/>
      </c>
    </row>
    <row r="59">
      <c r="B59" s="0" t="inlineStr">
        <is>
          <t>쿠팡(로켓그로스)</t>
        </is>
      </c>
      <c r="C59" s="0" t="inlineStr">
        <is>
          <t>신용/체크카드 발행 매출</t>
        </is>
      </c>
    </row>
    <row r="60">
      <c r="C60" s="0" t="inlineStr">
        <is>
          <t>현금영수증 발행 매출</t>
        </is>
      </c>
    </row>
    <row r="61">
      <c r="C61" s="0" t="inlineStr">
        <is>
          <t>기타</t>
        </is>
      </c>
    </row>
    <row r="62">
      <c r="C62" s="0" t="inlineStr">
        <is>
          <t>합계</t>
        </is>
      </c>
      <c r="D62" s="0">
        <f>SUM(D59:D61)</f>
        <v/>
      </c>
    </row>
    <row r="63">
      <c r="B63" s="0" t="inlineStr">
        <is>
          <t>큐텐(이베이 재팬)</t>
        </is>
      </c>
      <c r="C63" s="0" t="inlineStr">
        <is>
          <t>정산금액</t>
        </is>
      </c>
    </row>
    <row r="64">
      <c r="A64" s="0" t="inlineStr">
        <is>
          <t>위시</t>
        </is>
      </c>
      <c r="B64" s="0" t="inlineStr">
        <is>
          <t>무통장입금</t>
        </is>
      </c>
      <c r="C64" s="0" t="inlineStr">
        <is>
          <t>무통장입금</t>
        </is>
      </c>
      <c r="D64" s="0" t="n">
        <v>-975465</v>
      </c>
    </row>
    <row r="65">
      <c r="B65" s="0" t="inlineStr">
        <is>
          <t>토스페이먼츠</t>
        </is>
      </c>
      <c r="C65" s="0" t="inlineStr">
        <is>
          <t>신용·체크카드</t>
        </is>
      </c>
      <c r="D65" s="0" t="n">
        <v>12257659</v>
      </c>
    </row>
    <row r="66">
      <c r="C66" s="0" t="inlineStr">
        <is>
          <t>현금영수증 자동발행</t>
        </is>
      </c>
      <c r="D66" s="0" t="n">
        <v>2462106</v>
      </c>
    </row>
    <row r="67">
      <c r="C67" s="0" t="inlineStr">
        <is>
          <t>현금영수증 별도발급</t>
        </is>
      </c>
      <c r="D67" s="0" t="n">
        <v>975465</v>
      </c>
    </row>
    <row r="68">
      <c r="C68" s="0" t="inlineStr">
        <is>
          <t>기타(정규영수증 외 매출분)</t>
        </is>
      </c>
      <c r="D68" s="0" t="n">
        <v>8064</v>
      </c>
    </row>
    <row r="69">
      <c r="C69" s="0" t="inlineStr">
        <is>
          <t>합계</t>
        </is>
      </c>
      <c r="D69" s="0">
        <f>SUM(D65:D68)</f>
        <v/>
      </c>
    </row>
    <row r="70">
      <c r="B70" s="0" t="inlineStr">
        <is>
          <t>네이버페이</t>
        </is>
      </c>
      <c r="C70" s="0" t="inlineStr">
        <is>
          <t>신용카드 매출전표</t>
        </is>
      </c>
    </row>
    <row r="71">
      <c r="C71" s="0" t="inlineStr">
        <is>
          <t>현금영수증(소득공제)</t>
        </is>
      </c>
    </row>
    <row r="72">
      <c r="C72" s="0" t="inlineStr">
        <is>
          <t>현금영수증(지출증빙)</t>
        </is>
      </c>
    </row>
    <row r="73">
      <c r="C73" s="0" t="inlineStr">
        <is>
          <t>현금영수증(발행 제외)</t>
        </is>
      </c>
      <c r="D73" s="0" t="n">
        <v>0</v>
      </c>
    </row>
    <row r="74">
      <c r="C74" s="0" t="inlineStr">
        <is>
          <t>기타</t>
        </is>
      </c>
    </row>
    <row r="75">
      <c r="C75" s="0" t="inlineStr">
        <is>
          <t>합계</t>
        </is>
      </c>
      <c r="D75" s="0">
        <f>SUM(D70:D74)</f>
        <v/>
      </c>
    </row>
    <row r="76">
      <c r="A76" s="0" t="inlineStr">
        <is>
          <t>페이팔</t>
        </is>
      </c>
      <c r="B76" s="0" t="inlineStr">
        <is>
          <t>페이팔</t>
        </is>
      </c>
      <c r="C76" s="0" t="inlineStr">
        <is>
          <t>정산금액</t>
        </is>
      </c>
    </row>
    <row r="77">
      <c r="A77" s="0" t="inlineStr">
        <is>
          <t>유튜브</t>
        </is>
      </c>
      <c r="B77" s="0" t="inlineStr">
        <is>
          <t>애드센스</t>
        </is>
      </c>
      <c r="C77" s="0" t="inlineStr">
        <is>
          <t>정산금액</t>
        </is>
      </c>
    </row>
    <row r="78">
      <c r="A78" s="0" t="inlineStr">
        <is>
          <t>인스타그램</t>
        </is>
      </c>
      <c r="B78" t="inlineStr">
        <is>
          <t>인스타그램</t>
        </is>
      </c>
      <c r="C78" t="inlineStr">
        <is>
          <t>정산금액</t>
        </is>
      </c>
    </row>
    <row r="79">
      <c r="A79" s="0" t="inlineStr">
        <is>
          <t>판매금액 총합</t>
        </is>
      </c>
      <c r="D79" s="0">
        <f>SUM(D3,D8,D14,D20,D26,D33,D37,D38,D42,D48,D54,D58,D62,D64,D69,D75,D76,D77,D78)</f>
        <v/>
      </c>
    </row>
    <row r="80">
      <c r="A80" s="0" t="inlineStr">
        <is>
          <t>홈택스 현금영수증</t>
        </is>
      </c>
      <c r="C80" s="0" t="inlineStr">
        <is>
          <t>2025년 4분기</t>
        </is>
      </c>
    </row>
  </sheetData>
  <mergeCells count="16">
    <mergeCell ref="A34:A63"/>
    <mergeCell ref="B34:B37"/>
    <mergeCell ref="B65:B69"/>
    <mergeCell ref="A3:A33"/>
    <mergeCell ref="B43:B48"/>
    <mergeCell ref="B59:B62"/>
    <mergeCell ref="B15:B20"/>
    <mergeCell ref="B49:B53"/>
    <mergeCell ref="B9:B14"/>
    <mergeCell ref="B39:B42"/>
    <mergeCell ref="B55:B58"/>
    <mergeCell ref="B21:B26"/>
    <mergeCell ref="B70:B75"/>
    <mergeCell ref="B4:B8"/>
    <mergeCell ref="A64:A75"/>
    <mergeCell ref="B27:B33"/>
  </mergeCells>
  <pageMargins left="0.7" right="0.7" top="0.75" bottom="0.75" header="0.3" footer="0.3"/>
  <pageSetup orientation="portrait" paperSize="9" scale="55" verticalDpi="1200"/>
  <colBreaks count="1" manualBreakCount="1">
    <brk id="5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junghong seo</dc:creator>
  <dcterms:created xmlns:dcterms="http://purl.org/dc/terms/" xmlns:xsi="http://www.w3.org/2001/XMLSchema-instance" xsi:type="dcterms:W3CDTF">2021-01-19T01:49:31Z</dcterms:created>
  <dcterms:modified xmlns:dcterms="http://purl.org/dc/terms/" xmlns:xsi="http://www.w3.org/2001/XMLSchema-instance" xsi:type="dcterms:W3CDTF">2026-07-17T11:39:56Z</dcterms:modified>
  <cp:lastModifiedBy>INC MUD SCONE</cp:lastModifiedBy>
</cp:coreProperties>
</file>