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mon\Dropbox\머드스콘\머드스콘\법인운영\부가세신고\"/>
    </mc:Choice>
  </mc:AlternateContent>
  <xr:revisionPtr revIDLastSave="0" documentId="13_ncr:1_{D3984E39-C7F4-40A1-B127-35C064E02834}" xr6:coauthVersionLast="47" xr6:coauthVersionMax="47" xr10:uidLastSave="{00000000-0000-0000-0000-000000000000}"/>
  <bookViews>
    <workbookView xWindow="28680" yWindow="-120" windowWidth="29040" windowHeight="15840" xr2:uid="{9D9C842E-2E48-4A57-9ED3-0FB0A1B84101}"/>
  </bookViews>
  <sheets>
    <sheet name="성장그래프" sheetId="5" r:id="rId1"/>
    <sheet name="성장그래프 (카카오페이 비중)" sheetId="14" r:id="rId2"/>
    <sheet name="2018.04~06" sheetId="2" r:id="rId3"/>
    <sheet name="2018.07~09" sheetId="1" r:id="rId4"/>
    <sheet name="2018.10~12" sheetId="6" r:id="rId5"/>
    <sheet name="2019.01~03" sheetId="3" r:id="rId6"/>
    <sheet name="2019.04~06" sheetId="4" r:id="rId7"/>
    <sheet name="2019.07~09" sheetId="7" r:id="rId8"/>
    <sheet name="2019.10~12" sheetId="8" r:id="rId9"/>
    <sheet name="2020.01~03" sheetId="9" r:id="rId10"/>
    <sheet name="2020.04~06" sheetId="10" r:id="rId11"/>
    <sheet name="2020.07~09" sheetId="11" r:id="rId12"/>
    <sheet name="2020.10~12" sheetId="12" r:id="rId13"/>
    <sheet name="2021.01~03" sheetId="13" r:id="rId14"/>
    <sheet name="2021.04~06" sheetId="15" r:id="rId15"/>
    <sheet name="2021.07~09" sheetId="16" r:id="rId16"/>
    <sheet name="2021.10~12" sheetId="17" r:id="rId17"/>
  </sheets>
  <definedNames>
    <definedName name="_xlnm.Print_Area" localSheetId="15">'2021.07~09'!$A$1:$E$36</definedName>
    <definedName name="_xlnm.Print_Area" localSheetId="16">'2021.10~12'!$A$1:$E$46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4" i="5" l="1"/>
  <c r="D34" i="5"/>
  <c r="C33" i="5"/>
  <c r="D33" i="5"/>
  <c r="C32" i="5"/>
  <c r="D32" i="5"/>
  <c r="B35" i="5"/>
  <c r="C31" i="5"/>
  <c r="D31" i="5"/>
  <c r="C30" i="5" l="1"/>
  <c r="D30" i="5"/>
  <c r="C29" i="5"/>
  <c r="D29" i="5"/>
  <c r="C28" i="5"/>
  <c r="D28" i="5"/>
  <c r="C27" i="5"/>
  <c r="D27" i="5"/>
  <c r="C26" i="5"/>
  <c r="D26" i="5"/>
  <c r="D25" i="5"/>
  <c r="C25" i="5"/>
  <c r="D24" i="5"/>
  <c r="C24" i="5"/>
  <c r="C22" i="5"/>
  <c r="D22" i="5"/>
  <c r="C23" i="5"/>
  <c r="D23" i="5"/>
  <c r="D21" i="5"/>
  <c r="C21" i="5"/>
  <c r="D20" i="5"/>
  <c r="C20" i="5"/>
  <c r="D17" i="14"/>
  <c r="D18" i="14"/>
  <c r="D19" i="5"/>
  <c r="C19" i="5"/>
  <c r="D18" i="5"/>
  <c r="C18" i="5"/>
  <c r="D16" i="14"/>
  <c r="C16" i="14"/>
  <c r="C15" i="14"/>
  <c r="D15" i="14" s="1"/>
  <c r="C14" i="14"/>
  <c r="D14" i="14" s="1"/>
  <c r="D46" i="17"/>
  <c r="D39" i="17"/>
  <c r="D36" i="17"/>
  <c r="D31" i="17"/>
  <c r="D25" i="17"/>
  <c r="D20" i="17"/>
  <c r="D17" i="17"/>
  <c r="D12" i="17"/>
  <c r="D8" i="17"/>
  <c r="D42" i="17" s="1"/>
  <c r="D36" i="16" l="1"/>
  <c r="D32" i="16"/>
  <c r="D29" i="16"/>
  <c r="D26" i="16"/>
  <c r="D21" i="16"/>
  <c r="D16" i="16"/>
  <c r="D13" i="16"/>
  <c r="D8" i="16"/>
  <c r="C28" i="15"/>
  <c r="C23" i="15"/>
  <c r="C21" i="15"/>
  <c r="C16" i="15"/>
  <c r="C13" i="15"/>
  <c r="C8" i="15"/>
  <c r="C24" i="15" s="1"/>
  <c r="C13" i="14" l="1"/>
  <c r="D13" i="14" s="1"/>
  <c r="C12" i="14"/>
  <c r="D12" i="14" s="1"/>
  <c r="C11" i="14"/>
  <c r="D11" i="14" s="1"/>
  <c r="C10" i="14"/>
  <c r="D10" i="14" s="1"/>
  <c r="C9" i="14"/>
  <c r="D9" i="14" s="1"/>
  <c r="C8" i="14"/>
  <c r="D8" i="14" s="1"/>
  <c r="C7" i="14"/>
  <c r="D7" i="14" s="1"/>
  <c r="C6" i="14"/>
  <c r="D6" i="14" s="1"/>
  <c r="D17" i="5"/>
  <c r="C17" i="5"/>
  <c r="D16" i="5"/>
  <c r="C16" i="5"/>
  <c r="D15" i="5"/>
  <c r="C15" i="5"/>
  <c r="D14" i="5"/>
  <c r="C14" i="5"/>
  <c r="C26" i="13"/>
  <c r="C21" i="13"/>
  <c r="C16" i="13"/>
  <c r="C13" i="13"/>
  <c r="C22" i="13" s="1"/>
  <c r="C8" i="13"/>
  <c r="D11" i="5"/>
  <c r="D12" i="5"/>
  <c r="D13" i="5"/>
  <c r="D8" i="5"/>
  <c r="D9" i="5"/>
  <c r="D10" i="5"/>
  <c r="D7" i="5"/>
  <c r="C13" i="5" l="1"/>
  <c r="C21" i="12"/>
  <c r="C16" i="12"/>
  <c r="C13" i="12"/>
  <c r="C8" i="12"/>
  <c r="C17" i="12" s="1"/>
  <c r="C21" i="11"/>
  <c r="C16" i="11"/>
  <c r="C13" i="11"/>
  <c r="C8" i="11"/>
  <c r="C17" i="11" s="1"/>
  <c r="C21" i="10" l="1"/>
  <c r="C16" i="10"/>
  <c r="C13" i="10"/>
  <c r="C8" i="10"/>
  <c r="C17" i="10" s="1"/>
  <c r="D17" i="10" s="1"/>
  <c r="C12" i="5" l="1"/>
  <c r="C11" i="5" l="1"/>
  <c r="C10" i="5" l="1"/>
  <c r="C21" i="9"/>
  <c r="C16" i="9"/>
  <c r="C13" i="9"/>
  <c r="C8" i="9"/>
  <c r="C17" i="9" l="1"/>
  <c r="C9" i="5"/>
  <c r="C21" i="8"/>
  <c r="C16" i="8"/>
  <c r="C13" i="8"/>
  <c r="C8" i="8"/>
  <c r="C17" i="8" l="1"/>
  <c r="C8" i="5"/>
  <c r="C21" i="7"/>
  <c r="C16" i="7"/>
  <c r="C13" i="7"/>
  <c r="C8" i="7"/>
  <c r="C17" i="7" l="1"/>
  <c r="C5" i="5"/>
  <c r="C6" i="5"/>
  <c r="C7" i="5"/>
  <c r="C4" i="5"/>
  <c r="D18" i="6"/>
  <c r="D13" i="6"/>
  <c r="D8" i="6"/>
  <c r="D14" i="6" s="1"/>
  <c r="C16" i="4" l="1"/>
  <c r="C21" i="4"/>
  <c r="C13" i="4"/>
  <c r="C8" i="4"/>
  <c r="C17" i="4" l="1"/>
  <c r="D13" i="3"/>
  <c r="D18" i="3"/>
  <c r="D8" i="3"/>
  <c r="D14" i="3" s="1"/>
  <c r="D18" i="2" l="1"/>
  <c r="D13" i="2"/>
  <c r="D8" i="2"/>
  <c r="D14" i="2" l="1"/>
  <c r="D8" i="1"/>
  <c r="D18" i="1"/>
  <c r="D13" i="1"/>
  <c r="D14" i="1" l="1"/>
</calcChain>
</file>

<file path=xl/sharedStrings.xml><?xml version="1.0" encoding="utf-8"?>
<sst xmlns="http://schemas.openxmlformats.org/spreadsheetml/2006/main" count="662" uniqueCount="135">
  <si>
    <t>홈페이지</t>
    <phoneticPr fontId="2" type="noConversion"/>
  </si>
  <si>
    <t>무통장입금</t>
    <phoneticPr fontId="2" type="noConversion"/>
  </si>
  <si>
    <t>적요</t>
    <phoneticPr fontId="2" type="noConversion"/>
  </si>
  <si>
    <t>금액</t>
    <phoneticPr fontId="2" type="noConversion"/>
  </si>
  <si>
    <t>구분</t>
    <phoneticPr fontId="2" type="noConversion"/>
  </si>
  <si>
    <t>카드결제</t>
    <phoneticPr fontId="2" type="noConversion"/>
  </si>
  <si>
    <t>계좌이체</t>
    <phoneticPr fontId="2" type="noConversion"/>
  </si>
  <si>
    <t>가상계좌</t>
    <phoneticPr fontId="2" type="noConversion"/>
  </si>
  <si>
    <t>기타매출</t>
    <phoneticPr fontId="2" type="noConversion"/>
  </si>
  <si>
    <t>핸드폰결제</t>
    <phoneticPr fontId="2" type="noConversion"/>
  </si>
  <si>
    <t>합계</t>
    <phoneticPr fontId="2" type="noConversion"/>
  </si>
  <si>
    <t>네이버페이</t>
    <phoneticPr fontId="2" type="noConversion"/>
  </si>
  <si>
    <t>신용카드</t>
    <phoneticPr fontId="2" type="noConversion"/>
  </si>
  <si>
    <t>현금영수증(소득공제)</t>
    <phoneticPr fontId="2" type="noConversion"/>
  </si>
  <si>
    <t>현금영수증(지출증빙)</t>
    <phoneticPr fontId="2" type="noConversion"/>
  </si>
  <si>
    <t>기타</t>
    <phoneticPr fontId="2" type="noConversion"/>
  </si>
  <si>
    <t>홈택스 현금영수증</t>
    <phoneticPr fontId="2" type="noConversion"/>
  </si>
  <si>
    <t>7월</t>
    <phoneticPr fontId="2" type="noConversion"/>
  </si>
  <si>
    <t>8월</t>
    <phoneticPr fontId="2" type="noConversion"/>
  </si>
  <si>
    <t>9월</t>
    <phoneticPr fontId="2" type="noConversion"/>
  </si>
  <si>
    <t>홈페이지, 네이버페이 현금영수증 발행 총합</t>
    <phoneticPr fontId="2" type="noConversion"/>
  </si>
  <si>
    <t>신용카드 매출</t>
    <phoneticPr fontId="2" type="noConversion"/>
  </si>
  <si>
    <t>매출 총합</t>
    <phoneticPr fontId="2" type="noConversion"/>
  </si>
  <si>
    <t>실시간 계좌이체</t>
    <phoneticPr fontId="2" type="noConversion"/>
  </si>
  <si>
    <t>네이버포인트, 현금영수증 미발행 건 등</t>
    <phoneticPr fontId="2" type="noConversion"/>
  </si>
  <si>
    <t>2018년 7 ~ 9월 부가세 신고 정리</t>
    <phoneticPr fontId="2" type="noConversion"/>
  </si>
  <si>
    <t>2018년 4 ~ 6월 부가세 신고 정리</t>
    <phoneticPr fontId="2" type="noConversion"/>
  </si>
  <si>
    <t>4월</t>
    <phoneticPr fontId="2" type="noConversion"/>
  </si>
  <si>
    <t>5월</t>
    <phoneticPr fontId="2" type="noConversion"/>
  </si>
  <si>
    <t>6월</t>
    <phoneticPr fontId="2" type="noConversion"/>
  </si>
  <si>
    <t>2019년 1 ~ 3월 부가세 신고 정리</t>
    <phoneticPr fontId="2" type="noConversion"/>
  </si>
  <si>
    <t>1월</t>
    <phoneticPr fontId="2" type="noConversion"/>
  </si>
  <si>
    <t>2월</t>
  </si>
  <si>
    <t>3월</t>
  </si>
  <si>
    <t>무통장입금(이 중 일부 요청건 현금영수증 발행됨)</t>
    <phoneticPr fontId="2" type="noConversion"/>
  </si>
  <si>
    <t>실시간 계좌이체(이 중 일부 요청건 현금영주승 발행됨)</t>
    <phoneticPr fontId="2" type="noConversion"/>
  </si>
  <si>
    <t>이 중 일부 요청건 현금영수증 발행됨</t>
    <phoneticPr fontId="2" type="noConversion"/>
  </si>
  <si>
    <t>참고</t>
    <phoneticPr fontId="2" type="noConversion"/>
  </si>
  <si>
    <t>2019년 4 ~ 6월 부가세 신고 정리</t>
    <phoneticPr fontId="2" type="noConversion"/>
  </si>
  <si>
    <t>홈페이지
(나이스페이 
&amp; 무통장입금)</t>
    <phoneticPr fontId="2" type="noConversion"/>
  </si>
  <si>
    <t>홈페이지
(카카오페이)</t>
    <phoneticPr fontId="2" type="noConversion"/>
  </si>
  <si>
    <t>현금</t>
    <phoneticPr fontId="2" type="noConversion"/>
  </si>
  <si>
    <t>카카오페이 사용 시 등록번호로 현금영수증 자동발행</t>
    <phoneticPr fontId="2" type="noConversion"/>
  </si>
  <si>
    <t>홈페이지, 나이스/네이버/카카오페이 현금영수증 발행 총합</t>
    <phoneticPr fontId="2" type="noConversion"/>
  </si>
  <si>
    <t>2018년 10 ~ 12월 부가세 신고 정리</t>
    <phoneticPr fontId="2" type="noConversion"/>
  </si>
  <si>
    <t>무통장입금 건 - 취소환불 건</t>
    <phoneticPr fontId="2" type="noConversion"/>
  </si>
  <si>
    <t>10월</t>
    <phoneticPr fontId="2" type="noConversion"/>
  </si>
  <si>
    <t>11월</t>
    <phoneticPr fontId="2" type="noConversion"/>
  </si>
  <si>
    <t>12월</t>
    <phoneticPr fontId="2" type="noConversion"/>
  </si>
  <si>
    <t>2018년 2분기</t>
    <phoneticPr fontId="2" type="noConversion"/>
  </si>
  <si>
    <t>2018년 3분기</t>
    <phoneticPr fontId="2" type="noConversion"/>
  </si>
  <si>
    <t>2018년 4분기</t>
    <phoneticPr fontId="2" type="noConversion"/>
  </si>
  <si>
    <t>2019년 1분기</t>
    <phoneticPr fontId="2" type="noConversion"/>
  </si>
  <si>
    <t>2019년 2분기</t>
    <phoneticPr fontId="2" type="noConversion"/>
  </si>
  <si>
    <t>매출액</t>
    <phoneticPr fontId="2" type="noConversion"/>
  </si>
  <si>
    <t>기간</t>
    <phoneticPr fontId="2" type="noConversion"/>
  </si>
  <si>
    <t>2019년 7 ~ 9월 매출금액 결제수단 별 정리</t>
    <phoneticPr fontId="2" type="noConversion"/>
  </si>
  <si>
    <t>2019년 3분기</t>
    <phoneticPr fontId="2" type="noConversion"/>
  </si>
  <si>
    <t>2019년 10 ~ 12월 매출금액 결제수단 별 정리</t>
    <phoneticPr fontId="2" type="noConversion"/>
  </si>
  <si>
    <t>2019년 4분기</t>
    <phoneticPr fontId="2" type="noConversion"/>
  </si>
  <si>
    <t>11월</t>
  </si>
  <si>
    <t>12월</t>
  </si>
  <si>
    <t>무통장입금, 나이스/네이버/카카오페이 현금영수증 발행 총합</t>
    <phoneticPr fontId="2" type="noConversion"/>
  </si>
  <si>
    <t>2020년 01 ~ 03월 매출금액 결제수단 별 정리</t>
    <phoneticPr fontId="2" type="noConversion"/>
  </si>
  <si>
    <t>무통장입금액-취소환불금액(56,634,554-1,296,974) / 일부 현금영수증 발행됨</t>
    <phoneticPr fontId="2" type="noConversion"/>
  </si>
  <si>
    <t>실시간 계좌이체(이 중 일부 현금영수증 발행됨)</t>
    <phoneticPr fontId="2" type="noConversion"/>
  </si>
  <si>
    <t>2월</t>
    <phoneticPr fontId="2" type="noConversion"/>
  </si>
  <si>
    <t>3월</t>
    <phoneticPr fontId="2" type="noConversion"/>
  </si>
  <si>
    <t>2020년 1분기</t>
    <phoneticPr fontId="2" type="noConversion"/>
  </si>
  <si>
    <t>2020년 2분기</t>
    <phoneticPr fontId="2" type="noConversion"/>
  </si>
  <si>
    <t>2020년 3분기</t>
    <phoneticPr fontId="2" type="noConversion"/>
  </si>
  <si>
    <t>2020년 04 ~ 06월 매출금액 결제수단 별 정리</t>
    <phoneticPr fontId="2" type="noConversion"/>
  </si>
  <si>
    <t>무통장입금액-취소환불금액(80,740,856-2,565,361) / 일부 현금영수증 발행됨</t>
    <phoneticPr fontId="2" type="noConversion"/>
  </si>
  <si>
    <t>2020년 07 ~ 09월 매출금액 결제수단 별 정리</t>
    <phoneticPr fontId="2" type="noConversion"/>
  </si>
  <si>
    <t>무통장입금액-취소환불금액(96,695,515-2,339,145) / 일부 현금영수증 발행됨</t>
    <phoneticPr fontId="2" type="noConversion"/>
  </si>
  <si>
    <t>2020년 10 ~ 12월 매출금액 결제수단 별 정리</t>
    <phoneticPr fontId="2" type="noConversion"/>
  </si>
  <si>
    <t>2020년 4분기</t>
    <phoneticPr fontId="2" type="noConversion"/>
  </si>
  <si>
    <t>전분기 대비 성장률(QoQ)</t>
    <phoneticPr fontId="2" type="noConversion"/>
  </si>
  <si>
    <t>전년 동기 대비 성장률(YoY)</t>
    <phoneticPr fontId="2" type="noConversion"/>
  </si>
  <si>
    <t>무통장입금액-취소환불금액(81,970,487-2,284,059) / 일부 현금영수증 발행됨</t>
    <phoneticPr fontId="2" type="noConversion"/>
  </si>
  <si>
    <t>2021년 1 ~ 3월 매출금액 결제수단 별 정리</t>
    <phoneticPr fontId="2" type="noConversion"/>
  </si>
  <si>
    <t>무통장입금액-취소환불금액(54,595,600-1,201,430) / 일부 현금영수증 발행됨</t>
    <phoneticPr fontId="2" type="noConversion"/>
  </si>
  <si>
    <t>네이버
스마트스토어</t>
    <phoneticPr fontId="2" type="noConversion"/>
  </si>
  <si>
    <t>2021년 1분기</t>
    <phoneticPr fontId="2" type="noConversion"/>
  </si>
  <si>
    <t>2021년 2분기</t>
    <phoneticPr fontId="2" type="noConversion"/>
  </si>
  <si>
    <t>2021년 3분기</t>
    <phoneticPr fontId="2" type="noConversion"/>
  </si>
  <si>
    <t>2021년 4분기</t>
    <phoneticPr fontId="2" type="noConversion"/>
  </si>
  <si>
    <t>카카오페이</t>
    <phoneticPr fontId="2" type="noConversion"/>
  </si>
  <si>
    <t>2021년 4 ~ 6월 매출금액 결제수단 별 정리</t>
    <phoneticPr fontId="2" type="noConversion"/>
  </si>
  <si>
    <t>무통장입금액-취소환불금액(53,351,726-1,388,204) / 일부 현금영수증 발행됨</t>
    <phoneticPr fontId="2" type="noConversion"/>
  </si>
  <si>
    <t>KOCES
(오프라인카드결제)</t>
    <phoneticPr fontId="2" type="noConversion"/>
  </si>
  <si>
    <t>2021년 7 ~9월 매출금액 결제수단 별 정리</t>
    <phoneticPr fontId="2" type="noConversion"/>
  </si>
  <si>
    <t>머드스콘</t>
    <phoneticPr fontId="2" type="noConversion"/>
  </si>
  <si>
    <t>무통장입금액-취소환불금액(54,194,026-1,568,517) / 일부 현금영수증 발행됨</t>
    <phoneticPr fontId="2" type="noConversion"/>
  </si>
  <si>
    <t>나이스페이</t>
    <phoneticPr fontId="2" type="noConversion"/>
  </si>
  <si>
    <t>머드상회</t>
    <phoneticPr fontId="2" type="noConversion"/>
  </si>
  <si>
    <t>토스페이먼츠</t>
    <phoneticPr fontId="2" type="noConversion"/>
  </si>
  <si>
    <t>현금영수증</t>
    <phoneticPr fontId="2" type="noConversion"/>
  </si>
  <si>
    <t>페이코</t>
    <phoneticPr fontId="2" type="noConversion"/>
  </si>
  <si>
    <t>기타(포인트)</t>
    <phoneticPr fontId="2" type="noConversion"/>
  </si>
  <si>
    <t>모빌리언스
(머드상회/면세품목)</t>
    <phoneticPr fontId="2" type="noConversion"/>
  </si>
  <si>
    <t>무통장입금액-취소환불금액(3,337,625 - 56,610) / 일부 현금영수증 발행됨</t>
    <phoneticPr fontId="2" type="noConversion"/>
  </si>
  <si>
    <t>머드스콘 / 머드상회 현금영수증 발행 총합</t>
    <phoneticPr fontId="2" type="noConversion"/>
  </si>
  <si>
    <t>2021년 10 ~ 12월 매출금액 결제수단 별 정리</t>
    <phoneticPr fontId="2" type="noConversion"/>
  </si>
  <si>
    <t>무통장입금액-취소환불금액(53,886,579-1,158,091) / 일부 현금영수증 발행됨</t>
    <phoneticPr fontId="2" type="noConversion"/>
  </si>
  <si>
    <t>신용/체크카드</t>
    <phoneticPr fontId="2" type="noConversion"/>
  </si>
  <si>
    <t>현금영수증 발행분 합계</t>
    <phoneticPr fontId="2" type="noConversion"/>
  </si>
  <si>
    <t>가상계좌, 계좌이체, 현금영수증 별도입금 등 현금영수증 발행건</t>
    <phoneticPr fontId="2" type="noConversion"/>
  </si>
  <si>
    <t>기타 합계</t>
    <phoneticPr fontId="2" type="noConversion"/>
  </si>
  <si>
    <t>가상계좌, 계좌이체, PAYCO포인트(정규 영수증 외 매출분)</t>
    <phoneticPr fontId="2" type="noConversion"/>
  </si>
  <si>
    <t xml:space="preserve">
카카오페이</t>
    <phoneticPr fontId="2" type="noConversion"/>
  </si>
  <si>
    <t>머드상회
(면세: 고구마, 사과)</t>
    <phoneticPr fontId="2" type="noConversion"/>
  </si>
  <si>
    <t>현금영수증 발행분</t>
    <phoneticPr fontId="2" type="noConversion"/>
  </si>
  <si>
    <t>정규 영수증 외 매출분</t>
    <phoneticPr fontId="2" type="noConversion"/>
  </si>
  <si>
    <t>무통장입금액-취소환불금액(2,961,444 - 136,142) / 일부 현금영수증 발행됨</t>
    <phoneticPr fontId="2" type="noConversion"/>
  </si>
  <si>
    <t>카카오페이 비중</t>
    <phoneticPr fontId="2" type="noConversion"/>
  </si>
  <si>
    <t>2022년 1분기</t>
    <phoneticPr fontId="2" type="noConversion"/>
  </si>
  <si>
    <t>2022년 2분기</t>
    <phoneticPr fontId="2" type="noConversion"/>
  </si>
  <si>
    <t>2022년 3분기</t>
    <phoneticPr fontId="2" type="noConversion"/>
  </si>
  <si>
    <t>판매금액</t>
    <phoneticPr fontId="2" type="noConversion"/>
  </si>
  <si>
    <t>2022년 4분기</t>
    <phoneticPr fontId="2" type="noConversion"/>
  </si>
  <si>
    <t>2023년 1분기</t>
    <phoneticPr fontId="2" type="noConversion"/>
  </si>
  <si>
    <t>2023년 2분기</t>
    <phoneticPr fontId="2" type="noConversion"/>
  </si>
  <si>
    <t>이전</t>
    <phoneticPr fontId="2" type="noConversion"/>
  </si>
  <si>
    <t>2023년 3분기</t>
    <phoneticPr fontId="2" type="noConversion"/>
  </si>
  <si>
    <t>2023년 4분기</t>
    <phoneticPr fontId="2" type="noConversion"/>
  </si>
  <si>
    <t>2024년 1분기</t>
    <phoneticPr fontId="2" type="noConversion"/>
  </si>
  <si>
    <t>2024년 2분기</t>
    <phoneticPr fontId="2" type="noConversion"/>
  </si>
  <si>
    <t>2024년 3분기</t>
    <phoneticPr fontId="2" type="noConversion"/>
  </si>
  <si>
    <t>2024년 4분기</t>
    <phoneticPr fontId="2" type="noConversion"/>
  </si>
  <si>
    <t>2025년 1분기</t>
    <phoneticPr fontId="2" type="noConversion"/>
  </si>
  <si>
    <t>2025년 2분기</t>
    <phoneticPr fontId="2" type="noConversion"/>
  </si>
  <si>
    <t>2025년 3분기</t>
    <phoneticPr fontId="2" type="noConversion"/>
  </si>
  <si>
    <t>2025년 4분기</t>
    <phoneticPr fontId="2" type="noConversion"/>
  </si>
  <si>
    <t>2026년 1분기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</si>
</sst>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0.0%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sz val="11"/>
      <color rgb="FF3A3737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1" xfId="0" applyBorder="1">
      <alignment vertical="center"/>
    </xf>
    <xf numFmtId="41" fontId="0" fillId="0" borderId="1" xfId="1" applyFont="1" applyBorder="1">
      <alignment vertical="center"/>
    </xf>
    <xf numFmtId="0" fontId="0" fillId="2" borderId="1" xfId="0" applyFill="1" applyBorder="1">
      <alignment vertical="center"/>
    </xf>
    <xf numFmtId="41" fontId="0" fillId="2" borderId="1" xfId="1" applyFont="1" applyFill="1" applyBorder="1">
      <alignment vertical="center"/>
    </xf>
    <xf numFmtId="3" fontId="4" fillId="2" borderId="0" xfId="0" applyNumberFormat="1" applyFont="1" applyFill="1">
      <alignment vertical="center"/>
    </xf>
    <xf numFmtId="0" fontId="0" fillId="3" borderId="1" xfId="0" applyFill="1" applyBorder="1">
      <alignment vertical="center"/>
    </xf>
    <xf numFmtId="3" fontId="4" fillId="3" borderId="0" xfId="0" applyNumberFormat="1" applyFont="1" applyFill="1">
      <alignment vertical="center"/>
    </xf>
    <xf numFmtId="41" fontId="0" fillId="3" borderId="1" xfId="1" applyFont="1" applyFill="1" applyBorder="1">
      <alignment vertical="center"/>
    </xf>
    <xf numFmtId="6" fontId="0" fillId="0" borderId="0" xfId="0" applyNumberFormat="1">
      <alignment vertical="center"/>
    </xf>
    <xf numFmtId="3" fontId="0" fillId="0" borderId="0" xfId="0" applyNumberFormat="1">
      <alignment vertical="center"/>
    </xf>
    <xf numFmtId="176" fontId="0" fillId="0" borderId="1" xfId="1" applyNumberFormat="1" applyFont="1" applyBorder="1">
      <alignment vertical="center"/>
    </xf>
    <xf numFmtId="42" fontId="0" fillId="2" borderId="1" xfId="1" applyNumberFormat="1" applyFont="1" applyFill="1" applyBorder="1" applyAlignment="1">
      <alignment horizontal="left" vertical="center"/>
    </xf>
    <xf numFmtId="42" fontId="0" fillId="0" borderId="1" xfId="1" applyNumberFormat="1" applyFont="1" applyBorder="1" applyAlignment="1">
      <alignment horizontal="left" vertical="center"/>
    </xf>
    <xf numFmtId="42" fontId="0" fillId="2" borderId="1" xfId="1" applyNumberFormat="1" applyFont="1" applyFill="1" applyBorder="1">
      <alignment vertical="center"/>
    </xf>
    <xf numFmtId="42" fontId="0" fillId="0" borderId="1" xfId="1" applyNumberFormat="1" applyFont="1" applyBorder="1">
      <alignment vertical="center"/>
    </xf>
    <xf numFmtId="176" fontId="0" fillId="2" borderId="1" xfId="1" applyNumberFormat="1" applyFont="1" applyFill="1" applyBorder="1">
      <alignment vertical="center"/>
    </xf>
    <xf numFmtId="9" fontId="0" fillId="0" borderId="1" xfId="2" applyFont="1" applyBorder="1">
      <alignment vertical="center"/>
    </xf>
    <xf numFmtId="176" fontId="5" fillId="3" borderId="0" xfId="0" applyNumberFormat="1" applyFont="1" applyFill="1">
      <alignment vertical="center"/>
    </xf>
    <xf numFmtId="3" fontId="0" fillId="4" borderId="8" xfId="0" applyNumberFormat="1" applyFill="1" applyBorder="1" applyAlignment="1">
      <alignment horizontal="right" vertical="center" wrapText="1"/>
    </xf>
    <xf numFmtId="41" fontId="0" fillId="0" borderId="1" xfId="1" applyFont="1" applyFill="1" applyBorder="1">
      <alignment vertical="center"/>
    </xf>
    <xf numFmtId="3" fontId="0" fillId="0" borderId="8" xfId="0" applyNumberFormat="1" applyBorder="1" applyAlignment="1">
      <alignment horizontal="right" vertical="center" wrapText="1"/>
    </xf>
    <xf numFmtId="43" fontId="0" fillId="0" borderId="1" xfId="0" applyNumberFormat="1" applyBorder="1">
      <alignment vertical="center"/>
    </xf>
    <xf numFmtId="0" fontId="0" fillId="5" borderId="1" xfId="0" applyFill="1" applyBorder="1">
      <alignment vertical="center"/>
    </xf>
    <xf numFmtId="9" fontId="0" fillId="5" borderId="1" xfId="2" applyFont="1" applyFill="1" applyBorder="1">
      <alignment vertical="center"/>
    </xf>
    <xf numFmtId="177" fontId="0" fillId="5" borderId="1" xfId="2" applyNumberFormat="1" applyFont="1" applyFill="1" applyBorder="1">
      <alignment vertical="center"/>
    </xf>
    <xf numFmtId="0" fontId="0" fillId="6" borderId="1" xfId="0" applyFill="1" applyBorder="1">
      <alignment vertical="center"/>
    </xf>
    <xf numFmtId="41" fontId="0" fillId="6" borderId="1" xfId="1" applyFont="1" applyFill="1" applyBorder="1">
      <alignment vertical="center"/>
    </xf>
    <xf numFmtId="0" fontId="0" fillId="0" borderId="1" xfId="0" applyBorder="1" applyAlignment="1">
      <alignment vertical="center" wrapText="1"/>
    </xf>
    <xf numFmtId="41" fontId="0" fillId="7" borderId="1" xfId="1" applyFont="1" applyFill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7" fontId="0" fillId="0" borderId="1" xfId="2" applyNumberFormat="1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머드스콘 주식회사 판매금액 추이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성장그래프!$B$1</c:f>
              <c:strCache>
                <c:ptCount val="1"/>
                <c:pt idx="0">
                  <c:v> 판매금액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317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성장그래프!$A$3:$A$34</c:f>
              <c:strCache>
                <c:ptCount val="32"/>
                <c:pt idx="0">
                  <c:v>2018년 2분기</c:v>
                </c:pt>
                <c:pt idx="1">
                  <c:v>2018년 3분기</c:v>
                </c:pt>
                <c:pt idx="2">
                  <c:v>2018년 4분기</c:v>
                </c:pt>
                <c:pt idx="3">
                  <c:v>2019년 1분기</c:v>
                </c:pt>
                <c:pt idx="4">
                  <c:v>2019년 2분기</c:v>
                </c:pt>
                <c:pt idx="5">
                  <c:v>2019년 3분기</c:v>
                </c:pt>
                <c:pt idx="6">
                  <c:v>2019년 4분기</c:v>
                </c:pt>
                <c:pt idx="7">
                  <c:v>2020년 1분기</c:v>
                </c:pt>
                <c:pt idx="8">
                  <c:v>2020년 2분기</c:v>
                </c:pt>
                <c:pt idx="9">
                  <c:v>2020년 3분기</c:v>
                </c:pt>
                <c:pt idx="10">
                  <c:v>2020년 4분기</c:v>
                </c:pt>
                <c:pt idx="11">
                  <c:v>2021년 1분기</c:v>
                </c:pt>
                <c:pt idx="12">
                  <c:v>2021년 2분기</c:v>
                </c:pt>
                <c:pt idx="13">
                  <c:v>2021년 3분기</c:v>
                </c:pt>
                <c:pt idx="14">
                  <c:v>2021년 4분기</c:v>
                </c:pt>
                <c:pt idx="15">
                  <c:v>2022년 1분기</c:v>
                </c:pt>
                <c:pt idx="16">
                  <c:v>2022년 2분기</c:v>
                </c:pt>
                <c:pt idx="17">
                  <c:v>2022년 3분기</c:v>
                </c:pt>
                <c:pt idx="18">
                  <c:v>2022년 4분기</c:v>
                </c:pt>
                <c:pt idx="19">
                  <c:v>2023년 1분기</c:v>
                </c:pt>
                <c:pt idx="20">
                  <c:v>2023년 2분기</c:v>
                </c:pt>
                <c:pt idx="21">
                  <c:v>2023년 3분기</c:v>
                </c:pt>
                <c:pt idx="22">
                  <c:v>2023년 4분기</c:v>
                </c:pt>
                <c:pt idx="23">
                  <c:v>2024년 1분기</c:v>
                </c:pt>
                <c:pt idx="24">
                  <c:v>2024년 2분기</c:v>
                </c:pt>
                <c:pt idx="25">
                  <c:v>2024년 3분기</c:v>
                </c:pt>
                <c:pt idx="26">
                  <c:v>2024년 4분기</c:v>
                </c:pt>
                <c:pt idx="27">
                  <c:v>2025년 1분기</c:v>
                </c:pt>
                <c:pt idx="28">
                  <c:v>2025년 2분기</c:v>
                </c:pt>
                <c:pt idx="29">
                  <c:v>2025년 3분기</c:v>
                </c:pt>
                <c:pt idx="30">
                  <c:v>2025년 4분기</c:v>
                </c:pt>
                <c:pt idx="31">
                  <c:v>2026년 1분기</c:v>
                </c:pt>
              </c:strCache>
            </c:strRef>
          </c:cat>
          <c:val>
            <c:numRef>
              <c:f>성장그래프!$B$3:$B$34</c:f>
              <c:numCache>
                <c:formatCode>_(* #,##0_);_(* \(#,##0\);_(* "-"_);_(@_)</c:formatCode>
                <c:ptCount val="32"/>
                <c:pt idx="0">
                  <c:v>257161331</c:v>
                </c:pt>
                <c:pt idx="1">
                  <c:v>345233092</c:v>
                </c:pt>
                <c:pt idx="2">
                  <c:v>416236156</c:v>
                </c:pt>
                <c:pt idx="3">
                  <c:v>433143497</c:v>
                </c:pt>
                <c:pt idx="4">
                  <c:v>561338949</c:v>
                </c:pt>
                <c:pt idx="5">
                  <c:v>585347931</c:v>
                </c:pt>
                <c:pt idx="6">
                  <c:v>622597864</c:v>
                </c:pt>
                <c:pt idx="7">
                  <c:v>694752201</c:v>
                </c:pt>
                <c:pt idx="8">
                  <c:v>982425838</c:v>
                </c:pt>
                <c:pt idx="9">
                  <c:v>1074839252</c:v>
                </c:pt>
                <c:pt idx="10">
                  <c:v>984813809</c:v>
                </c:pt>
                <c:pt idx="11">
                  <c:v>806050477</c:v>
                </c:pt>
                <c:pt idx="12">
                  <c:v>886675402</c:v>
                </c:pt>
                <c:pt idx="13">
                  <c:v>925792941</c:v>
                </c:pt>
                <c:pt idx="14">
                  <c:v>932938959</c:v>
                </c:pt>
                <c:pt idx="15">
                  <c:v>904837364</c:v>
                </c:pt>
                <c:pt idx="16">
                  <c:v>920727905</c:v>
                </c:pt>
                <c:pt idx="17">
                  <c:v>820503512</c:v>
                </c:pt>
                <c:pt idx="18">
                  <c:v>849713352</c:v>
                </c:pt>
                <c:pt idx="19">
                  <c:v>841925185</c:v>
                </c:pt>
                <c:pt idx="20">
                  <c:v>851482661</c:v>
                </c:pt>
                <c:pt idx="21">
                  <c:v>1002863214</c:v>
                </c:pt>
                <c:pt idx="22">
                  <c:v>931008659</c:v>
                </c:pt>
                <c:pt idx="23">
                  <c:v>1005365034</c:v>
                </c:pt>
                <c:pt idx="24">
                  <c:v>1056451620</c:v>
                </c:pt>
                <c:pt idx="25">
                  <c:v>1052394973</c:v>
                </c:pt>
                <c:pt idx="26">
                  <c:v>1106195744</c:v>
                </c:pt>
                <c:pt idx="27">
                  <c:v>1145663527</c:v>
                </c:pt>
                <c:pt idx="28">
                  <c:v>1117734221</c:v>
                </c:pt>
                <c:pt idx="29">
                  <c:v>1314645297</c:v>
                </c:pt>
                <c:pt idx="30">
                  <c:v>1141502117</c:v>
                </c:pt>
                <c:pt idx="31">
                  <c:v>1008519311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BA-4C39-9D38-AFC4F011F3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79385144"/>
        <c:axId val="379387440"/>
      </c:lineChart>
      <c:catAx>
        <c:axId val="379385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9387440"/>
        <c:crosses val="autoZero"/>
        <c:auto val="1"/>
        <c:lblAlgn val="ctr"/>
        <c:lblOffset val="100"/>
        <c:noMultiLvlLbl val="0"/>
      </c:catAx>
      <c:valAx>
        <c:axId val="37938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93851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'성장그래프 (카카오페이 비중)'!$B$1</c:f>
              <c:strCache>
                <c:ptCount val="1"/>
                <c:pt idx="0">
                  <c:v> 매출액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'성장그래프 (카카오페이 비중)'!$A$2:$A$16</c:f>
              <c:strCache>
                <c:ptCount val="15"/>
                <c:pt idx="0">
                  <c:v>2018년 2분기</c:v>
                </c:pt>
                <c:pt idx="1">
                  <c:v>2018년 3분기</c:v>
                </c:pt>
                <c:pt idx="2">
                  <c:v>2018년 4분기</c:v>
                </c:pt>
                <c:pt idx="3">
                  <c:v>2019년 1분기</c:v>
                </c:pt>
                <c:pt idx="4">
                  <c:v>2019년 2분기</c:v>
                </c:pt>
                <c:pt idx="5">
                  <c:v>2019년 3분기</c:v>
                </c:pt>
                <c:pt idx="6">
                  <c:v>2019년 4분기</c:v>
                </c:pt>
                <c:pt idx="7">
                  <c:v>2020년 1분기</c:v>
                </c:pt>
                <c:pt idx="8">
                  <c:v>2020년 2분기</c:v>
                </c:pt>
                <c:pt idx="9">
                  <c:v>2020년 3분기</c:v>
                </c:pt>
                <c:pt idx="10">
                  <c:v>2020년 4분기</c:v>
                </c:pt>
                <c:pt idx="11">
                  <c:v>2021년 1분기</c:v>
                </c:pt>
                <c:pt idx="12">
                  <c:v>2021년 2분기</c:v>
                </c:pt>
                <c:pt idx="13">
                  <c:v>2021년 3분기</c:v>
                </c:pt>
                <c:pt idx="14">
                  <c:v>2021년 4분기</c:v>
                </c:pt>
              </c:strCache>
            </c:strRef>
          </c:cat>
          <c:val>
            <c:numRef>
              <c:f>'성장그래프 (카카오페이 비중)'!$B$2:$B$16</c:f>
              <c:numCache>
                <c:formatCode>_(* #,##0_);_(* \(#,##0\);_(* "-"_);_(@_)</c:formatCode>
                <c:ptCount val="15"/>
                <c:pt idx="0">
                  <c:v>257161331</c:v>
                </c:pt>
                <c:pt idx="1">
                  <c:v>345233092</c:v>
                </c:pt>
                <c:pt idx="2">
                  <c:v>416236156</c:v>
                </c:pt>
                <c:pt idx="3">
                  <c:v>433143497</c:v>
                </c:pt>
                <c:pt idx="4">
                  <c:v>561338949</c:v>
                </c:pt>
                <c:pt idx="5">
                  <c:v>585347931</c:v>
                </c:pt>
                <c:pt idx="6">
                  <c:v>622597864</c:v>
                </c:pt>
                <c:pt idx="7">
                  <c:v>694752201</c:v>
                </c:pt>
                <c:pt idx="8">
                  <c:v>982425838</c:v>
                </c:pt>
                <c:pt idx="9">
                  <c:v>1074839252</c:v>
                </c:pt>
                <c:pt idx="10">
                  <c:v>984813809</c:v>
                </c:pt>
                <c:pt idx="11">
                  <c:v>806050477</c:v>
                </c:pt>
                <c:pt idx="12">
                  <c:v>886675402</c:v>
                </c:pt>
                <c:pt idx="13">
                  <c:v>925792941</c:v>
                </c:pt>
                <c:pt idx="14">
                  <c:v>932938959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DA-4871-AEC5-9F1201EB1672}"/>
            </c:ext>
          </c:extLst>
        </c:ser>
        <c:ser>
          <c:idx val="1"/>
          <c:order val="1"/>
          <c:tx>
            <c:strRef>
              <c:f>'성장그래프 (카카오페이 비중)'!$C$1</c:f>
              <c:strCache>
                <c:ptCount val="1"/>
                <c:pt idx="0">
                  <c:v> 카카오페이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'성장그래프 (카카오페이 비중)'!$A$2:$A$16</c:f>
              <c:strCache>
                <c:ptCount val="15"/>
                <c:pt idx="0">
                  <c:v>2018년 2분기</c:v>
                </c:pt>
                <c:pt idx="1">
                  <c:v>2018년 3분기</c:v>
                </c:pt>
                <c:pt idx="2">
                  <c:v>2018년 4분기</c:v>
                </c:pt>
                <c:pt idx="3">
                  <c:v>2019년 1분기</c:v>
                </c:pt>
                <c:pt idx="4">
                  <c:v>2019년 2분기</c:v>
                </c:pt>
                <c:pt idx="5">
                  <c:v>2019년 3분기</c:v>
                </c:pt>
                <c:pt idx="6">
                  <c:v>2019년 4분기</c:v>
                </c:pt>
                <c:pt idx="7">
                  <c:v>2020년 1분기</c:v>
                </c:pt>
                <c:pt idx="8">
                  <c:v>2020년 2분기</c:v>
                </c:pt>
                <c:pt idx="9">
                  <c:v>2020년 3분기</c:v>
                </c:pt>
                <c:pt idx="10">
                  <c:v>2020년 4분기</c:v>
                </c:pt>
                <c:pt idx="11">
                  <c:v>2021년 1분기</c:v>
                </c:pt>
                <c:pt idx="12">
                  <c:v>2021년 2분기</c:v>
                </c:pt>
                <c:pt idx="13">
                  <c:v>2021년 3분기</c:v>
                </c:pt>
                <c:pt idx="14">
                  <c:v>2021년 4분기</c:v>
                </c:pt>
              </c:strCache>
            </c:strRef>
          </c:cat>
          <c:val>
            <c:numRef>
              <c:f>'성장그래프 (카카오페이 비중)'!$C$2:$C$16</c:f>
              <c:numCache>
                <c:formatCode>_(* #,##0_);_(* \(#,##0\);_(* "-"_);_(@_)</c:formatCode>
                <c:ptCount val="15"/>
                <c:pt idx="4">
                  <c:v>44101195</c:v>
                </c:pt>
                <c:pt idx="5">
                  <c:v>54828476</c:v>
                </c:pt>
                <c:pt idx="6">
                  <c:v>64676827</c:v>
                </c:pt>
                <c:pt idx="7">
                  <c:v>76415333</c:v>
                </c:pt>
                <c:pt idx="8">
                  <c:v>108875643</c:v>
                </c:pt>
                <c:pt idx="9">
                  <c:v>136731702</c:v>
                </c:pt>
                <c:pt idx="10">
                  <c:v>154275616</c:v>
                </c:pt>
                <c:pt idx="11">
                  <c:v>127796501</c:v>
                </c:pt>
                <c:pt idx="12">
                  <c:v>152836797</c:v>
                </c:pt>
                <c:pt idx="13">
                  <c:v>199323644</c:v>
                </c:pt>
                <c:pt idx="14">
                  <c:v>207985258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DA-4871-AEC5-9F1201EB1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5574799"/>
        <c:axId val="925560239"/>
      </c:barChart>
      <c:catAx>
        <c:axId val="92557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25560239"/>
        <c:crosses val="autoZero"/>
        <c:auto val="1"/>
        <c:lblAlgn val="ctr"/>
        <c:lblOffset val="100"/>
        <c:noMultiLvlLbl val="0"/>
      </c:catAx>
      <c:valAx>
        <c:axId val="92556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2557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'성장그래프 (카카오페이 비중)'!$B$1</c:f>
              <c:strCache>
                <c:ptCount val="1"/>
                <c:pt idx="0">
                  <c:v> 매출액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'성장그래프 (카카오페이 비중)'!$A$2:$A$16</c:f>
              <c:strCache>
                <c:ptCount val="15"/>
                <c:pt idx="0">
                  <c:v>2018년 2분기</c:v>
                </c:pt>
                <c:pt idx="1">
                  <c:v>2018년 3분기</c:v>
                </c:pt>
                <c:pt idx="2">
                  <c:v>2018년 4분기</c:v>
                </c:pt>
                <c:pt idx="3">
                  <c:v>2019년 1분기</c:v>
                </c:pt>
                <c:pt idx="4">
                  <c:v>2019년 2분기</c:v>
                </c:pt>
                <c:pt idx="5">
                  <c:v>2019년 3분기</c:v>
                </c:pt>
                <c:pt idx="6">
                  <c:v>2019년 4분기</c:v>
                </c:pt>
                <c:pt idx="7">
                  <c:v>2020년 1분기</c:v>
                </c:pt>
                <c:pt idx="8">
                  <c:v>2020년 2분기</c:v>
                </c:pt>
                <c:pt idx="9">
                  <c:v>2020년 3분기</c:v>
                </c:pt>
                <c:pt idx="10">
                  <c:v>2020년 4분기</c:v>
                </c:pt>
                <c:pt idx="11">
                  <c:v>2021년 1분기</c:v>
                </c:pt>
                <c:pt idx="12">
                  <c:v>2021년 2분기</c:v>
                </c:pt>
                <c:pt idx="13">
                  <c:v>2021년 3분기</c:v>
                </c:pt>
                <c:pt idx="14">
                  <c:v>2021년 4분기</c:v>
                </c:pt>
              </c:strCache>
            </c:strRef>
          </c:cat>
          <c:val>
            <c:numRef>
              <c:f>'성장그래프 (카카오페이 비중)'!$B$2:$B$16</c:f>
              <c:numCache>
                <c:formatCode>_(* #,##0_);_(* \(#,##0\);_(* "-"_);_(@_)</c:formatCode>
                <c:ptCount val="15"/>
                <c:pt idx="0">
                  <c:v>257161331</c:v>
                </c:pt>
                <c:pt idx="1">
                  <c:v>345233092</c:v>
                </c:pt>
                <c:pt idx="2">
                  <c:v>416236156</c:v>
                </c:pt>
                <c:pt idx="3">
                  <c:v>433143497</c:v>
                </c:pt>
                <c:pt idx="4">
                  <c:v>561338949</c:v>
                </c:pt>
                <c:pt idx="5">
                  <c:v>585347931</c:v>
                </c:pt>
                <c:pt idx="6">
                  <c:v>622597864</c:v>
                </c:pt>
                <c:pt idx="7">
                  <c:v>694752201</c:v>
                </c:pt>
                <c:pt idx="8">
                  <c:v>982425838</c:v>
                </c:pt>
                <c:pt idx="9">
                  <c:v>1074839252</c:v>
                </c:pt>
                <c:pt idx="10">
                  <c:v>984813809</c:v>
                </c:pt>
                <c:pt idx="11">
                  <c:v>806050477</c:v>
                </c:pt>
                <c:pt idx="12">
                  <c:v>886675402</c:v>
                </c:pt>
                <c:pt idx="13">
                  <c:v>925792941</c:v>
                </c:pt>
                <c:pt idx="14">
                  <c:v>932938959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C8-4BF0-81D6-58BD2F04D37B}"/>
            </c:ext>
          </c:extLst>
        </c:ser>
        <c:ser>
          <c:idx val="1"/>
          <c:order val="1"/>
          <c:tx>
            <c:strRef>
              <c:f>'성장그래프 (카카오페이 비중)'!$C$1</c:f>
              <c:strCache>
                <c:ptCount val="1"/>
                <c:pt idx="0">
                  <c:v> 카카오페이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'성장그래프 (카카오페이 비중)'!$A$2:$A$16</c:f>
              <c:strCache>
                <c:ptCount val="15"/>
                <c:pt idx="0">
                  <c:v>2018년 2분기</c:v>
                </c:pt>
                <c:pt idx="1">
                  <c:v>2018년 3분기</c:v>
                </c:pt>
                <c:pt idx="2">
                  <c:v>2018년 4분기</c:v>
                </c:pt>
                <c:pt idx="3">
                  <c:v>2019년 1분기</c:v>
                </c:pt>
                <c:pt idx="4">
                  <c:v>2019년 2분기</c:v>
                </c:pt>
                <c:pt idx="5">
                  <c:v>2019년 3분기</c:v>
                </c:pt>
                <c:pt idx="6">
                  <c:v>2019년 4분기</c:v>
                </c:pt>
                <c:pt idx="7">
                  <c:v>2020년 1분기</c:v>
                </c:pt>
                <c:pt idx="8">
                  <c:v>2020년 2분기</c:v>
                </c:pt>
                <c:pt idx="9">
                  <c:v>2020년 3분기</c:v>
                </c:pt>
                <c:pt idx="10">
                  <c:v>2020년 4분기</c:v>
                </c:pt>
                <c:pt idx="11">
                  <c:v>2021년 1분기</c:v>
                </c:pt>
                <c:pt idx="12">
                  <c:v>2021년 2분기</c:v>
                </c:pt>
                <c:pt idx="13">
                  <c:v>2021년 3분기</c:v>
                </c:pt>
                <c:pt idx="14">
                  <c:v>2021년 4분기</c:v>
                </c:pt>
              </c:strCache>
            </c:strRef>
          </c:cat>
          <c:val>
            <c:numRef>
              <c:f>'성장그래프 (카카오페이 비중)'!$C$2:$C$16</c:f>
              <c:numCache>
                <c:formatCode>_(* #,##0_);_(* \(#,##0\);_(* "-"_);_(@_)</c:formatCode>
                <c:ptCount val="15"/>
                <c:pt idx="4">
                  <c:v>44101195</c:v>
                </c:pt>
                <c:pt idx="5">
                  <c:v>54828476</c:v>
                </c:pt>
                <c:pt idx="6">
                  <c:v>64676827</c:v>
                </c:pt>
                <c:pt idx="7">
                  <c:v>76415333</c:v>
                </c:pt>
                <c:pt idx="8">
                  <c:v>108875643</c:v>
                </c:pt>
                <c:pt idx="9">
                  <c:v>136731702</c:v>
                </c:pt>
                <c:pt idx="10">
                  <c:v>154275616</c:v>
                </c:pt>
                <c:pt idx="11">
                  <c:v>127796501</c:v>
                </c:pt>
                <c:pt idx="12">
                  <c:v>152836797</c:v>
                </c:pt>
                <c:pt idx="13">
                  <c:v>199323644</c:v>
                </c:pt>
                <c:pt idx="14">
                  <c:v>207985258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C8-4BF0-81D6-58BD2F04D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5551919"/>
        <c:axId val="925529871"/>
      </c:barChart>
      <c:catAx>
        <c:axId val="92555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25529871"/>
        <c:crosses val="autoZero"/>
        <c:auto val="1"/>
        <c:lblAlgn val="ctr"/>
        <c:lblOffset val="100"/>
        <c:noMultiLvlLbl val="0"/>
      </c:catAx>
      <c:valAx>
        <c:axId val="92552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2555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85722</xdr:colOff>
      <xdr:row>0</xdr:row>
      <xdr:rowOff>190501</xdr:rowOff>
    </xdr:from>
    <xdr:to>
      <xdr:col>25</xdr:col>
      <xdr:colOff>78440</xdr:colOff>
      <xdr:row>40</xdr:row>
      <xdr:rowOff>145678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DAB99C1-B568-4EED-8627-1C14445CEF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461010</xdr:colOff>
      <xdr:row>5</xdr:row>
      <xdr:rowOff>34290</xdr:rowOff>
    </xdr:from>
    <xdr:to>
      <xdr:col>11</xdr:col>
      <xdr:colOff>339090</xdr:colOff>
      <xdr:row>17</xdr:row>
      <xdr:rowOff>125730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F6C0B4E3-4510-41DD-B410-0D27DA3A9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461010</xdr:colOff>
      <xdr:row>4</xdr:row>
      <xdr:rowOff>209550</xdr:rowOff>
    </xdr:from>
    <xdr:to>
      <xdr:col>18</xdr:col>
      <xdr:colOff>339090</xdr:colOff>
      <xdr:row>17</xdr:row>
      <xdr:rowOff>80010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5B4A78E9-5F0A-47DA-8F2F-36330AC64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557FB-3B84-495D-B163-F7411D6F8DC8}">
  <sheetPr>
    <pageSetUpPr fitToPage="1"/>
  </sheetPr>
  <dimension ref="A1:E35"/>
  <sheetViews>
    <sheetView tabSelected="1" topLeftCell="A4" zoomScale="85" zoomScaleNormal="85" workbookViewId="0">
      <selection activeCell="C33" sqref="C33"/>
    </sheetView>
  </sheetViews>
  <sheetFormatPr defaultRowHeight="16.5" x14ac:dyDescent="0.3"/>
  <cols>
    <col min="1" max="1" width="13" bestFit="1" customWidth="1"/>
    <col min="2" max="2" width="20.25" style="1" bestFit="1" customWidth="1"/>
    <col min="3" max="3" width="24.5" bestFit="1" customWidth="1"/>
    <col min="4" max="4" width="26.25" bestFit="1" customWidth="1"/>
  </cols>
  <sheetData>
    <row r="1" spans="1:5" x14ac:dyDescent="0.3">
      <c r="A1" s="27" t="s">
        <v>55</v>
      </c>
      <c r="B1" s="28" t="s">
        <v>119</v>
      </c>
      <c r="C1" s="27" t="s">
        <v>77</v>
      </c>
      <c r="D1" s="27" t="s">
        <v>78</v>
      </c>
    </row>
    <row r="2" spans="1:5" x14ac:dyDescent="0.3">
      <c r="A2" s="27" t="s">
        <v>123</v>
      </c>
      <c r="B2" s="28">
        <v>155980124</v>
      </c>
      <c r="C2" s="27"/>
      <c r="D2" s="27"/>
    </row>
    <row r="3" spans="1:5" x14ac:dyDescent="0.3">
      <c r="A3" s="2" t="s">
        <v>49</v>
      </c>
      <c r="B3" s="3">
        <v>257161331</v>
      </c>
      <c r="C3" s="2"/>
      <c r="D3" s="24"/>
    </row>
    <row r="4" spans="1:5" x14ac:dyDescent="0.3">
      <c r="A4" s="2" t="s">
        <v>50</v>
      </c>
      <c r="B4" s="3">
        <v>345233092</v>
      </c>
      <c r="C4" s="18">
        <f>(B4-B3)/B3</f>
        <v>0.34247668830116607</v>
      </c>
      <c r="D4" s="25"/>
    </row>
    <row r="5" spans="1:5" x14ac:dyDescent="0.3">
      <c r="A5" s="2" t="s">
        <v>51</v>
      </c>
      <c r="B5" s="3">
        <v>416236156</v>
      </c>
      <c r="C5" s="18">
        <f t="shared" ref="C5:C21" si="0">(B5-B4)/B4</f>
        <v>0.20566702800321354</v>
      </c>
      <c r="D5" s="25"/>
      <c r="E5" s="10"/>
    </row>
    <row r="6" spans="1:5" x14ac:dyDescent="0.3">
      <c r="A6" s="2" t="s">
        <v>52</v>
      </c>
      <c r="B6" s="3">
        <v>433143497</v>
      </c>
      <c r="C6" s="18">
        <f t="shared" si="0"/>
        <v>4.0619587597767459E-2</v>
      </c>
      <c r="D6" s="25"/>
      <c r="E6" s="10"/>
    </row>
    <row r="7" spans="1:5" x14ac:dyDescent="0.3">
      <c r="A7" s="2" t="s">
        <v>53</v>
      </c>
      <c r="B7" s="3">
        <v>561338949</v>
      </c>
      <c r="C7" s="18">
        <f t="shared" si="0"/>
        <v>0.29596531608553733</v>
      </c>
      <c r="D7" s="26">
        <f>(B7-B3)/B3</f>
        <v>1.1828279812410833</v>
      </c>
      <c r="E7" s="10"/>
    </row>
    <row r="8" spans="1:5" x14ac:dyDescent="0.3">
      <c r="A8" s="2" t="s">
        <v>57</v>
      </c>
      <c r="B8" s="3">
        <v>585347931</v>
      </c>
      <c r="C8" s="18">
        <f t="shared" si="0"/>
        <v>4.2770917718734675E-2</v>
      </c>
      <c r="D8" s="26">
        <f t="shared" ref="D8:D21" si="1">(B8-B4)/B4</f>
        <v>0.69551513039775459</v>
      </c>
      <c r="E8" s="10"/>
    </row>
    <row r="9" spans="1:5" x14ac:dyDescent="0.3">
      <c r="A9" s="2" t="s">
        <v>59</v>
      </c>
      <c r="B9" s="3">
        <v>622597864</v>
      </c>
      <c r="C9" s="18">
        <f t="shared" si="0"/>
        <v>6.3637250645718943E-2</v>
      </c>
      <c r="D9" s="26">
        <f t="shared" si="1"/>
        <v>0.49578035215182026</v>
      </c>
      <c r="E9" s="10"/>
    </row>
    <row r="10" spans="1:5" x14ac:dyDescent="0.3">
      <c r="A10" s="2" t="s">
        <v>68</v>
      </c>
      <c r="B10" s="3">
        <v>694752201</v>
      </c>
      <c r="C10" s="18">
        <f t="shared" si="0"/>
        <v>0.1158923619435996</v>
      </c>
      <c r="D10" s="26">
        <f t="shared" si="1"/>
        <v>0.60397698640734754</v>
      </c>
      <c r="E10" s="10"/>
    </row>
    <row r="11" spans="1:5" x14ac:dyDescent="0.3">
      <c r="A11" s="2" t="s">
        <v>69</v>
      </c>
      <c r="B11" s="3">
        <v>982425838</v>
      </c>
      <c r="C11" s="18">
        <f t="shared" si="0"/>
        <v>0.41406653564527535</v>
      </c>
      <c r="D11" s="26">
        <f t="shared" si="1"/>
        <v>0.75014728578900014</v>
      </c>
      <c r="E11" s="10"/>
    </row>
    <row r="12" spans="1:5" x14ac:dyDescent="0.3">
      <c r="A12" s="2" t="s">
        <v>70</v>
      </c>
      <c r="B12" s="3">
        <v>1074839252</v>
      </c>
      <c r="C12" s="18">
        <f t="shared" si="0"/>
        <v>9.4066554874140021E-2</v>
      </c>
      <c r="D12" s="26">
        <f t="shared" si="1"/>
        <v>0.83623994393173995</v>
      </c>
      <c r="E12" s="10"/>
    </row>
    <row r="13" spans="1:5" x14ac:dyDescent="0.3">
      <c r="A13" s="2" t="s">
        <v>76</v>
      </c>
      <c r="B13" s="3">
        <v>984813809</v>
      </c>
      <c r="C13" s="18">
        <f t="shared" si="0"/>
        <v>-8.375712259529576E-2</v>
      </c>
      <c r="D13" s="26">
        <f t="shared" si="1"/>
        <v>0.58178154141563199</v>
      </c>
      <c r="E13" s="10"/>
    </row>
    <row r="14" spans="1:5" x14ac:dyDescent="0.3">
      <c r="A14" s="2" t="s">
        <v>83</v>
      </c>
      <c r="B14" s="3">
        <v>806050477</v>
      </c>
      <c r="C14" s="18">
        <f t="shared" si="0"/>
        <v>-0.18151992830149277</v>
      </c>
      <c r="D14" s="26">
        <f t="shared" si="1"/>
        <v>0.16019852235056106</v>
      </c>
      <c r="E14" s="10"/>
    </row>
    <row r="15" spans="1:5" x14ac:dyDescent="0.3">
      <c r="A15" s="2" t="s">
        <v>84</v>
      </c>
      <c r="B15" s="3">
        <v>886675402</v>
      </c>
      <c r="C15" s="18">
        <f t="shared" si="0"/>
        <v>0.10002466011815288</v>
      </c>
      <c r="D15" s="26">
        <f t="shared" si="1"/>
        <v>-9.7463271319213812E-2</v>
      </c>
      <c r="E15" s="10"/>
    </row>
    <row r="16" spans="1:5" x14ac:dyDescent="0.3">
      <c r="A16" s="2" t="s">
        <v>85</v>
      </c>
      <c r="B16" s="3">
        <v>925792941</v>
      </c>
      <c r="C16" s="18">
        <f t="shared" si="0"/>
        <v>4.4117090551701127E-2</v>
      </c>
      <c r="D16" s="26">
        <f t="shared" si="1"/>
        <v>-0.13866846667784327</v>
      </c>
      <c r="E16" s="10"/>
    </row>
    <row r="17" spans="1:5" x14ac:dyDescent="0.3">
      <c r="A17" s="2" t="s">
        <v>86</v>
      </c>
      <c r="B17" s="3">
        <v>932938959</v>
      </c>
      <c r="C17" s="18">
        <f t="shared" si="0"/>
        <v>7.7188080439252347E-3</v>
      </c>
      <c r="D17" s="26">
        <f t="shared" si="1"/>
        <v>-5.2674779258705541E-2</v>
      </c>
      <c r="E17" s="11"/>
    </row>
    <row r="18" spans="1:5" x14ac:dyDescent="0.3">
      <c r="A18" s="2" t="s">
        <v>116</v>
      </c>
      <c r="B18" s="3">
        <v>904837364</v>
      </c>
      <c r="C18" s="18">
        <f t="shared" si="0"/>
        <v>-3.0121579476240952E-2</v>
      </c>
      <c r="D18" s="26">
        <f t="shared" si="1"/>
        <v>0.12255670062707499</v>
      </c>
      <c r="E18" s="11"/>
    </row>
    <row r="19" spans="1:5" x14ac:dyDescent="0.3">
      <c r="A19" s="2" t="s">
        <v>117</v>
      </c>
      <c r="B19" s="3">
        <v>920727905</v>
      </c>
      <c r="C19" s="18">
        <f t="shared" si="0"/>
        <v>1.7561764834459245E-2</v>
      </c>
      <c r="D19" s="26">
        <f t="shared" si="1"/>
        <v>3.8404700212942185E-2</v>
      </c>
      <c r="E19" s="11"/>
    </row>
    <row r="20" spans="1:5" x14ac:dyDescent="0.3">
      <c r="A20" s="2" t="s">
        <v>118</v>
      </c>
      <c r="B20" s="3">
        <v>820503512</v>
      </c>
      <c r="C20" s="18">
        <f t="shared" si="0"/>
        <v>-0.1088534326544605</v>
      </c>
      <c r="D20" s="26">
        <f t="shared" si="1"/>
        <v>-0.11372891749020152</v>
      </c>
      <c r="E20" s="11"/>
    </row>
    <row r="21" spans="1:5" x14ac:dyDescent="0.3">
      <c r="A21" s="2" t="s">
        <v>120</v>
      </c>
      <c r="B21" s="3">
        <v>849713352</v>
      </c>
      <c r="C21" s="18">
        <f t="shared" si="0"/>
        <v>3.5599896371924365E-2</v>
      </c>
      <c r="D21" s="26">
        <f t="shared" si="1"/>
        <v>-8.9207987507787204E-2</v>
      </c>
    </row>
    <row r="22" spans="1:5" x14ac:dyDescent="0.3">
      <c r="A22" s="2" t="s">
        <v>121</v>
      </c>
      <c r="B22" s="3">
        <v>841925185</v>
      </c>
      <c r="C22" s="18">
        <f t="shared" ref="C22:C25" si="2">(B22-B21)/B21</f>
        <v>-9.165640367623646E-3</v>
      </c>
      <c r="D22" s="26">
        <f t="shared" ref="D22:D25" si="3">(B22-B18)/B18</f>
        <v>-6.9528714775752787E-2</v>
      </c>
    </row>
    <row r="23" spans="1:5" x14ac:dyDescent="0.3">
      <c r="A23" s="2" t="s">
        <v>122</v>
      </c>
      <c r="B23" s="3">
        <v>851482661</v>
      </c>
      <c r="C23" s="18">
        <f t="shared" si="2"/>
        <v>1.1351930278698101E-2</v>
      </c>
      <c r="D23" s="26">
        <f t="shared" si="3"/>
        <v>-7.5207065653125821E-2</v>
      </c>
    </row>
    <row r="24" spans="1:5" x14ac:dyDescent="0.3">
      <c r="A24" s="2" t="s">
        <v>124</v>
      </c>
      <c r="B24" s="3">
        <v>1002863214</v>
      </c>
      <c r="C24" s="18">
        <f t="shared" si="2"/>
        <v>0.17778465720278477</v>
      </c>
      <c r="D24" s="26">
        <f t="shared" si="3"/>
        <v>0.22225340822185294</v>
      </c>
    </row>
    <row r="25" spans="1:5" x14ac:dyDescent="0.3">
      <c r="A25" s="2" t="s">
        <v>125</v>
      </c>
      <c r="B25" s="3">
        <v>931008659</v>
      </c>
      <c r="C25" s="18">
        <f t="shared" si="2"/>
        <v>-7.1649407413601665E-2</v>
      </c>
      <c r="D25" s="26">
        <f t="shared" si="3"/>
        <v>9.5673802004702407E-2</v>
      </c>
    </row>
    <row r="26" spans="1:5" x14ac:dyDescent="0.3">
      <c r="A26" s="2" t="s">
        <v>126</v>
      </c>
      <c r="B26" s="3">
        <v>1005365034</v>
      </c>
      <c r="C26" s="18">
        <f t="shared" ref="C26" si="4">(B26-B25)/B25</f>
        <v>7.9866469856323855E-2</v>
      </c>
      <c r="D26" s="26">
        <f t="shared" ref="D26" si="5">(B26-B22)/B22</f>
        <v>0.19412633320857364</v>
      </c>
    </row>
    <row r="27" spans="1:5" x14ac:dyDescent="0.3">
      <c r="A27" s="2" t="s">
        <v>127</v>
      </c>
      <c r="B27" s="3">
        <v>1056451620</v>
      </c>
      <c r="C27" s="18">
        <f t="shared" ref="C27" si="6">(B27-B26)/B26</f>
        <v>5.0813967337559107E-2</v>
      </c>
      <c r="D27" s="26">
        <f t="shared" ref="D27" si="7">(B27-B23)/B23</f>
        <v>0.24072006206125202</v>
      </c>
    </row>
    <row r="28" spans="1:5" x14ac:dyDescent="0.3">
      <c r="A28" s="2" t="s">
        <v>128</v>
      </c>
      <c r="B28" s="3">
        <v>1052394973</v>
      </c>
      <c r="C28" s="18">
        <f t="shared" ref="C28" si="8">(B28-B27)/B27</f>
        <v>-3.8398795772588241E-3</v>
      </c>
      <c r="D28" s="26">
        <f t="shared" ref="D28" si="9">(B28-B24)/B24</f>
        <v>4.9390343875949566E-2</v>
      </c>
    </row>
    <row r="29" spans="1:5" x14ac:dyDescent="0.3">
      <c r="A29" s="2" t="s">
        <v>129</v>
      </c>
      <c r="B29" s="3">
        <v>1106195744</v>
      </c>
      <c r="C29" s="18">
        <f t="shared" ref="C29" si="10">(B29-B28)/B28</f>
        <v>5.1122223481012391E-2</v>
      </c>
      <c r="D29" s="26">
        <f t="shared" ref="D29" si="11">(B29-B25)/B25</f>
        <v>0.18816912528844698</v>
      </c>
    </row>
    <row r="30" spans="1:5" x14ac:dyDescent="0.3">
      <c r="A30" s="2" t="s">
        <v>130</v>
      </c>
      <c r="B30" s="3">
        <v>1145663527</v>
      </c>
      <c r="C30" s="18">
        <f t="shared" ref="C30" si="12">(B30-B29)/B29</f>
        <v>3.5678841845191551E-2</v>
      </c>
      <c r="D30" s="26">
        <f t="shared" ref="D30" si="13">(B30-B26)/B26</f>
        <v>0.13954980355921151</v>
      </c>
    </row>
    <row r="31" spans="1:5" x14ac:dyDescent="0.3">
      <c r="A31" s="2" t="s">
        <v>131</v>
      </c>
      <c r="B31" s="3">
        <v>1117734221</v>
      </c>
      <c r="C31" s="18">
        <f t="shared" ref="C31" si="14">(B31-B30)/B30</f>
        <v>-2.4378279784410036E-2</v>
      </c>
      <c r="D31" s="26">
        <f t="shared" ref="D31" si="15">(B31-B27)/B27</f>
        <v>5.8007957808801504E-2</v>
      </c>
    </row>
    <row r="32" spans="1:5" x14ac:dyDescent="0.3">
      <c r="A32" s="2" t="s">
        <v>132</v>
      </c>
      <c r="B32" s="3">
        <v>1314645297</v>
      </c>
      <c r="C32" s="18">
        <f t="shared" ref="C32" si="16">(B32-B31)/B31</f>
        <v>0.17616985532019422</v>
      </c>
      <c r="D32" s="26">
        <f t="shared" ref="D32" si="17">(B32-B28)/B28</f>
        <v>0.24919382050297953</v>
      </c>
    </row>
    <row r="33" spans="1:4" x14ac:dyDescent="0.3">
      <c r="A33" s="2" t="s">
        <v>133</v>
      </c>
      <c r="B33" s="3">
        <v>1141502117</v>
      </c>
      <c r="C33" s="18">
        <f>(B33-B32)/B32</f>
        <v>-0.13170334263934921</v>
      </c>
      <c r="D33" s="26">
        <f>(B33-B29)/B29</f>
        <v>3.1916930788697735E-2</v>
      </c>
    </row>
    <row r="34" spans="1:4" x14ac:dyDescent="0.3">
      <c r="A34" s="2" t="s">
        <v>134</v>
      </c>
      <c r="B34" s="3">
        <v>1008519311</v>
      </c>
      <c r="C34" s="18">
        <f>(B34-B33)/B33</f>
        <v>-0.11649808092296338</v>
      </c>
      <c r="D34" s="26">
        <f>(B34-B30)/B30</f>
        <v>-0.11970723756836504</v>
      </c>
    </row>
    <row r="35" spans="1:4" x14ac:dyDescent="0.3">
      <c r="A35" s="2" t="s">
        <v>10</v>
      </c>
      <c r="B35" s="3">
        <f>SUM(B2:B32)</f>
        <v>25586840091</v>
      </c>
      <c r="C35" s="2"/>
      <c r="D35" s="2"/>
    </row>
  </sheetData>
  <phoneticPr fontId="2" type="noConversion"/>
  <pageMargins left="0.7" right="0.7" top="0.75" bottom="0.75" header="0.3" footer="0.3"/>
  <pageSetup paperSize="9" scale="8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0923-8AE6-43B2-8F7A-C4DDBD7798CF}">
  <sheetPr>
    <pageSetUpPr fitToPage="1"/>
  </sheetPr>
  <dimension ref="A1:E19"/>
  <sheetViews>
    <sheetView workbookViewId="0">
      <selection activeCell="D16" sqref="D16:D18"/>
    </sheetView>
  </sheetViews>
  <sheetFormatPr defaultRowHeight="16.5" x14ac:dyDescent="0.3"/>
  <cols>
    <col min="1" max="1" width="13" bestFit="1" customWidth="1"/>
    <col min="2" max="2" width="14.625" style="1" bestFit="1" customWidth="1"/>
    <col min="3" max="4" width="14.625" style="1" customWidth="1"/>
  </cols>
  <sheetData>
    <row r="1" spans="1:5" x14ac:dyDescent="0.3">
      <c r="A1" s="27" t="s">
        <v>55</v>
      </c>
      <c r="B1" s="28" t="s">
        <v>54</v>
      </c>
      <c r="C1" s="28" t="s">
        <v>87</v>
      </c>
      <c r="D1" s="28" t="s">
        <v>115</v>
      </c>
    </row>
    <row r="2" spans="1:5" x14ac:dyDescent="0.3">
      <c r="A2" s="2" t="s">
        <v>49</v>
      </c>
      <c r="B2" s="3">
        <v>257161331</v>
      </c>
      <c r="C2" s="3"/>
      <c r="D2" s="3"/>
    </row>
    <row r="3" spans="1:5" x14ac:dyDescent="0.3">
      <c r="A3" s="2" t="s">
        <v>50</v>
      </c>
      <c r="B3" s="3">
        <v>345233092</v>
      </c>
      <c r="C3" s="3"/>
      <c r="D3" s="3"/>
    </row>
    <row r="4" spans="1:5" x14ac:dyDescent="0.3">
      <c r="A4" s="2" t="s">
        <v>51</v>
      </c>
      <c r="B4" s="3">
        <v>416236156</v>
      </c>
      <c r="C4" s="3"/>
      <c r="D4" s="3"/>
      <c r="E4" s="10"/>
    </row>
    <row r="5" spans="1:5" x14ac:dyDescent="0.3">
      <c r="A5" s="2" t="s">
        <v>52</v>
      </c>
      <c r="B5" s="3">
        <v>433143497</v>
      </c>
      <c r="C5" s="3"/>
      <c r="D5" s="3"/>
      <c r="E5" s="10"/>
    </row>
    <row r="6" spans="1:5" x14ac:dyDescent="0.3">
      <c r="A6" s="2" t="s">
        <v>53</v>
      </c>
      <c r="B6" s="3">
        <v>561338949</v>
      </c>
      <c r="C6" s="3">
        <f>'2019.04~06'!C16</f>
        <v>44101195</v>
      </c>
      <c r="D6" s="33">
        <f>C6/B6</f>
        <v>7.8564288258572271E-2</v>
      </c>
      <c r="E6" s="10"/>
    </row>
    <row r="7" spans="1:5" x14ac:dyDescent="0.3">
      <c r="A7" s="2" t="s">
        <v>57</v>
      </c>
      <c r="B7" s="3">
        <v>585347931</v>
      </c>
      <c r="C7" s="3">
        <f>'2019.07~09'!C16</f>
        <v>54828476</v>
      </c>
      <c r="D7" s="33">
        <f t="shared" ref="D7:D18" si="0">C7/B7</f>
        <v>9.3668181087326677E-2</v>
      </c>
      <c r="E7" s="10"/>
    </row>
    <row r="8" spans="1:5" x14ac:dyDescent="0.3">
      <c r="A8" s="2" t="s">
        <v>59</v>
      </c>
      <c r="B8" s="3">
        <v>622597864</v>
      </c>
      <c r="C8" s="3">
        <f>'2019.10~12'!C16</f>
        <v>64676827</v>
      </c>
      <c r="D8" s="33">
        <f t="shared" si="0"/>
        <v>0.1038821858213121</v>
      </c>
      <c r="E8" s="10"/>
    </row>
    <row r="9" spans="1:5" x14ac:dyDescent="0.3">
      <c r="A9" s="2" t="s">
        <v>68</v>
      </c>
      <c r="B9" s="3">
        <v>694752201</v>
      </c>
      <c r="C9" s="3">
        <f>'2020.01~03'!C16</f>
        <v>76415333</v>
      </c>
      <c r="D9" s="33">
        <f t="shared" si="0"/>
        <v>0.10998933560773275</v>
      </c>
      <c r="E9" s="10"/>
    </row>
    <row r="10" spans="1:5" x14ac:dyDescent="0.3">
      <c r="A10" s="2" t="s">
        <v>69</v>
      </c>
      <c r="B10" s="3">
        <v>982425838</v>
      </c>
      <c r="C10" s="3">
        <f>'2020.04~06'!C16</f>
        <v>108875643</v>
      </c>
      <c r="D10" s="33">
        <f t="shared" si="0"/>
        <v>0.11082326908425631</v>
      </c>
      <c r="E10" s="10"/>
    </row>
    <row r="11" spans="1:5" x14ac:dyDescent="0.3">
      <c r="A11" s="2" t="s">
        <v>70</v>
      </c>
      <c r="B11" s="3">
        <v>1074839252</v>
      </c>
      <c r="C11" s="3">
        <f>'2020.07~09'!C16</f>
        <v>136731702</v>
      </c>
      <c r="D11" s="33">
        <f t="shared" si="0"/>
        <v>0.1272113032209955</v>
      </c>
      <c r="E11" s="10"/>
    </row>
    <row r="12" spans="1:5" x14ac:dyDescent="0.3">
      <c r="A12" s="2" t="s">
        <v>76</v>
      </c>
      <c r="B12" s="3">
        <v>984813809</v>
      </c>
      <c r="C12" s="3">
        <f>'2020.10~12'!C16</f>
        <v>154275616</v>
      </c>
      <c r="D12" s="33">
        <f t="shared" si="0"/>
        <v>0.15665460271790319</v>
      </c>
      <c r="E12" s="10"/>
    </row>
    <row r="13" spans="1:5" x14ac:dyDescent="0.3">
      <c r="A13" s="2" t="s">
        <v>83</v>
      </c>
      <c r="B13" s="3">
        <v>806050477</v>
      </c>
      <c r="C13" s="3">
        <f>'2021.01~03'!C16</f>
        <v>127796501</v>
      </c>
      <c r="D13" s="33">
        <f t="shared" si="0"/>
        <v>0.15854652363167077</v>
      </c>
      <c r="E13" s="10"/>
    </row>
    <row r="14" spans="1:5" x14ac:dyDescent="0.3">
      <c r="A14" s="2" t="s">
        <v>84</v>
      </c>
      <c r="B14" s="3">
        <v>886675402</v>
      </c>
      <c r="C14" s="3">
        <f>'2021.04~06'!C16</f>
        <v>152836797</v>
      </c>
      <c r="D14" s="33">
        <f t="shared" si="0"/>
        <v>0.17237062926890578</v>
      </c>
      <c r="E14" s="10"/>
    </row>
    <row r="15" spans="1:5" x14ac:dyDescent="0.3">
      <c r="A15" s="2" t="s">
        <v>85</v>
      </c>
      <c r="B15" s="3">
        <v>925792941</v>
      </c>
      <c r="C15" s="3">
        <f>'2021.07~09'!D16</f>
        <v>199323644</v>
      </c>
      <c r="D15" s="33">
        <f t="shared" si="0"/>
        <v>0.21530045777266302</v>
      </c>
      <c r="E15" s="10"/>
    </row>
    <row r="16" spans="1:5" x14ac:dyDescent="0.3">
      <c r="A16" s="2" t="s">
        <v>86</v>
      </c>
      <c r="B16" s="3">
        <v>932938959</v>
      </c>
      <c r="C16" s="3">
        <f>'2021.10~12'!D20</f>
        <v>207985258</v>
      </c>
      <c r="D16" s="33">
        <f t="shared" si="0"/>
        <v>0.22293554791937895</v>
      </c>
      <c r="E16" s="11"/>
    </row>
    <row r="17" spans="1:5" x14ac:dyDescent="0.3">
      <c r="A17" s="2" t="s">
        <v>116</v>
      </c>
      <c r="B17" s="3">
        <v>904837364</v>
      </c>
      <c r="C17" s="3">
        <v>173518976</v>
      </c>
      <c r="D17" s="33">
        <f t="shared" si="0"/>
        <v>0.1917681374616621</v>
      </c>
      <c r="E17" s="11"/>
    </row>
    <row r="18" spans="1:5" x14ac:dyDescent="0.3">
      <c r="A18" s="2" t="s">
        <v>117</v>
      </c>
      <c r="B18" s="3">
        <v>920727905</v>
      </c>
      <c r="C18" s="3">
        <v>167644933</v>
      </c>
      <c r="D18" s="33">
        <f t="shared" si="0"/>
        <v>0.18207869240152985</v>
      </c>
      <c r="E18" s="11"/>
    </row>
    <row r="19" spans="1:5" x14ac:dyDescent="0.3">
      <c r="A19" s="2"/>
      <c r="B19" s="3"/>
      <c r="C19" s="3"/>
      <c r="D19" s="3"/>
      <c r="E19" s="11"/>
    </row>
  </sheetData>
  <phoneticPr fontId="2" type="noConversion"/>
  <pageMargins left="0.7" right="0.7" top="0.75" bottom="0.75" header="0.3" footer="0.3"/>
  <pageSetup paperSize="9" scale="8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ECB73-4590-44AE-BC85-740E9CC6229E}">
  <dimension ref="B1:E18"/>
  <sheetViews>
    <sheetView view="pageBreakPreview" zoomScale="115" zoomScaleNormal="100" zoomScaleSheetLayoutView="115" workbookViewId="0">
      <selection activeCell="F8" sqref="F8"/>
    </sheetView>
  </sheetViews>
  <sheetFormatPr defaultRowHeight="16.5" x14ac:dyDescent="0.3"/>
  <cols>
    <col min="2" max="2" width="16.5" bestFit="1" customWidth="1"/>
    <col min="3" max="3" width="19" bestFit="1" customWidth="1"/>
    <col min="4" max="4" width="19.875" style="1" customWidth="1"/>
    <col min="5" max="5" width="38" bestFit="1" customWidth="1"/>
  </cols>
  <sheetData>
    <row r="1" spans="2:5" ht="29.65" customHeight="1" x14ac:dyDescent="0.3">
      <c r="B1" s="34" t="s">
        <v>26</v>
      </c>
      <c r="C1" s="34"/>
      <c r="D1" s="34"/>
      <c r="E1" s="34"/>
    </row>
    <row r="2" spans="2:5" x14ac:dyDescent="0.3">
      <c r="B2" s="2"/>
      <c r="C2" s="2" t="s">
        <v>4</v>
      </c>
      <c r="D2" s="3" t="s">
        <v>3</v>
      </c>
      <c r="E2" s="2" t="s">
        <v>2</v>
      </c>
    </row>
    <row r="3" spans="2:5" x14ac:dyDescent="0.3">
      <c r="B3" s="35" t="s">
        <v>0</v>
      </c>
      <c r="C3" s="4" t="s">
        <v>5</v>
      </c>
      <c r="D3" s="5">
        <v>111037466</v>
      </c>
      <c r="E3" s="2" t="s">
        <v>21</v>
      </c>
    </row>
    <row r="4" spans="2:5" x14ac:dyDescent="0.3">
      <c r="B4" s="36"/>
      <c r="C4" s="2" t="s">
        <v>1</v>
      </c>
      <c r="D4" s="3">
        <v>24353030</v>
      </c>
      <c r="E4" s="2" t="s">
        <v>1</v>
      </c>
    </row>
    <row r="5" spans="2:5" x14ac:dyDescent="0.3">
      <c r="B5" s="36"/>
      <c r="C5" s="2" t="s">
        <v>6</v>
      </c>
      <c r="D5" s="3">
        <v>1000827</v>
      </c>
      <c r="E5" s="2" t="s">
        <v>23</v>
      </c>
    </row>
    <row r="6" spans="2:5" x14ac:dyDescent="0.3">
      <c r="B6" s="36"/>
      <c r="C6" s="2" t="s">
        <v>7</v>
      </c>
      <c r="D6" s="3">
        <v>1406263</v>
      </c>
      <c r="E6" s="2"/>
    </row>
    <row r="7" spans="2:5" x14ac:dyDescent="0.3">
      <c r="B7" s="36"/>
      <c r="C7" s="2" t="s">
        <v>8</v>
      </c>
      <c r="D7" s="3">
        <v>9667865</v>
      </c>
      <c r="E7" s="2" t="s">
        <v>9</v>
      </c>
    </row>
    <row r="8" spans="2:5" x14ac:dyDescent="0.3">
      <c r="B8" s="37"/>
      <c r="C8" s="2" t="s">
        <v>10</v>
      </c>
      <c r="D8" s="3">
        <f>SUM(D3:D7)</f>
        <v>147465451</v>
      </c>
      <c r="E8" s="2"/>
    </row>
    <row r="9" spans="2:5" x14ac:dyDescent="0.3">
      <c r="B9" s="35" t="s">
        <v>11</v>
      </c>
      <c r="C9" s="4" t="s">
        <v>12</v>
      </c>
      <c r="D9" s="5">
        <v>82608572</v>
      </c>
      <c r="E9" s="2" t="s">
        <v>21</v>
      </c>
    </row>
    <row r="10" spans="2:5" x14ac:dyDescent="0.3">
      <c r="B10" s="36"/>
      <c r="C10" s="2" t="s">
        <v>13</v>
      </c>
      <c r="D10" s="3">
        <v>16601088</v>
      </c>
      <c r="E10" s="2"/>
    </row>
    <row r="11" spans="2:5" x14ac:dyDescent="0.3">
      <c r="B11" s="36"/>
      <c r="C11" s="2" t="s">
        <v>14</v>
      </c>
      <c r="D11" s="3">
        <v>1644084</v>
      </c>
      <c r="E11" s="2"/>
    </row>
    <row r="12" spans="2:5" x14ac:dyDescent="0.3">
      <c r="B12" s="36"/>
      <c r="C12" s="2" t="s">
        <v>15</v>
      </c>
      <c r="D12" s="3">
        <v>8842136</v>
      </c>
      <c r="E12" s="2" t="s">
        <v>24</v>
      </c>
    </row>
    <row r="13" spans="2:5" x14ac:dyDescent="0.3">
      <c r="B13" s="37"/>
      <c r="C13" s="2" t="s">
        <v>10</v>
      </c>
      <c r="D13" s="3">
        <f>SUM(D9:D12)</f>
        <v>109695880</v>
      </c>
      <c r="E13" s="2"/>
    </row>
    <row r="14" spans="2:5" x14ac:dyDescent="0.3">
      <c r="B14" s="38" t="s">
        <v>22</v>
      </c>
      <c r="C14" s="39"/>
      <c r="D14" s="5">
        <f>D8+D13</f>
        <v>257161331</v>
      </c>
      <c r="E14" s="2"/>
    </row>
    <row r="15" spans="2:5" x14ac:dyDescent="0.3">
      <c r="B15" s="35" t="s">
        <v>16</v>
      </c>
      <c r="C15" s="2" t="s">
        <v>27</v>
      </c>
      <c r="D15" s="3">
        <v>4598672</v>
      </c>
      <c r="E15" s="2"/>
    </row>
    <row r="16" spans="2:5" x14ac:dyDescent="0.3">
      <c r="B16" s="36"/>
      <c r="C16" s="2" t="s">
        <v>28</v>
      </c>
      <c r="D16" s="3">
        <v>9685830</v>
      </c>
      <c r="E16" s="2"/>
    </row>
    <row r="17" spans="2:5" x14ac:dyDescent="0.3">
      <c r="B17" s="36"/>
      <c r="C17" s="2" t="s">
        <v>29</v>
      </c>
      <c r="D17" s="3">
        <v>8254682</v>
      </c>
      <c r="E17" s="2"/>
    </row>
    <row r="18" spans="2:5" x14ac:dyDescent="0.3">
      <c r="B18" s="37"/>
      <c r="C18" s="4" t="s">
        <v>10</v>
      </c>
      <c r="D18" s="5">
        <f>SUM(D15:D17)</f>
        <v>22539184</v>
      </c>
      <c r="E18" s="2" t="s">
        <v>20</v>
      </c>
    </row>
  </sheetData>
  <mergeCells count="5">
    <mergeCell ref="B1:E1"/>
    <mergeCell ref="B3:B8"/>
    <mergeCell ref="B9:B13"/>
    <mergeCell ref="B14:C14"/>
    <mergeCell ref="B15:B18"/>
  </mergeCells>
  <phoneticPr fontId="2" type="noConversion"/>
  <pageMargins left="0.7" right="0.7" top="0.75" bottom="0.75" header="0.3" footer="0.3"/>
  <pageSetup paperSize="9" scale="78"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00668-E667-455B-A731-A05896FC2ACF}">
  <dimension ref="B1:E18"/>
  <sheetViews>
    <sheetView view="pageBreakPreview" zoomScale="115" zoomScaleNormal="100" zoomScaleSheetLayoutView="115" workbookViewId="0">
      <selection activeCell="G15" sqref="G15"/>
    </sheetView>
  </sheetViews>
  <sheetFormatPr defaultRowHeight="16.5" x14ac:dyDescent="0.3"/>
  <cols>
    <col min="2" max="2" width="16.5" bestFit="1" customWidth="1"/>
    <col min="3" max="3" width="19" bestFit="1" customWidth="1"/>
    <col min="4" max="4" width="19.875" style="1" customWidth="1"/>
    <col min="5" max="5" width="38" bestFit="1" customWidth="1"/>
  </cols>
  <sheetData>
    <row r="1" spans="2:5" ht="29.65" customHeight="1" x14ac:dyDescent="0.3">
      <c r="B1" s="34" t="s">
        <v>25</v>
      </c>
      <c r="C1" s="34"/>
      <c r="D1" s="34"/>
      <c r="E1" s="34"/>
    </row>
    <row r="2" spans="2:5" x14ac:dyDescent="0.3">
      <c r="B2" s="2"/>
      <c r="C2" s="2" t="s">
        <v>4</v>
      </c>
      <c r="D2" s="3" t="s">
        <v>3</v>
      </c>
      <c r="E2" s="2" t="s">
        <v>2</v>
      </c>
    </row>
    <row r="3" spans="2:5" x14ac:dyDescent="0.3">
      <c r="B3" s="35" t="s">
        <v>0</v>
      </c>
      <c r="C3" s="4" t="s">
        <v>5</v>
      </c>
      <c r="D3" s="5">
        <v>130276433</v>
      </c>
      <c r="E3" s="2" t="s">
        <v>21</v>
      </c>
    </row>
    <row r="4" spans="2:5" x14ac:dyDescent="0.3">
      <c r="B4" s="36"/>
      <c r="C4" s="2" t="s">
        <v>1</v>
      </c>
      <c r="D4" s="3">
        <v>28327686</v>
      </c>
      <c r="E4" s="2" t="s">
        <v>1</v>
      </c>
    </row>
    <row r="5" spans="2:5" x14ac:dyDescent="0.3">
      <c r="B5" s="36"/>
      <c r="C5" s="2" t="s">
        <v>6</v>
      </c>
      <c r="D5" s="3">
        <v>1024165</v>
      </c>
      <c r="E5" s="2" t="s">
        <v>23</v>
      </c>
    </row>
    <row r="6" spans="2:5" x14ac:dyDescent="0.3">
      <c r="B6" s="36"/>
      <c r="C6" s="2" t="s">
        <v>7</v>
      </c>
      <c r="D6" s="3">
        <v>1916551</v>
      </c>
      <c r="E6" s="2"/>
    </row>
    <row r="7" spans="2:5" x14ac:dyDescent="0.3">
      <c r="B7" s="36"/>
      <c r="C7" s="2" t="s">
        <v>8</v>
      </c>
      <c r="D7" s="3">
        <v>11963957</v>
      </c>
      <c r="E7" s="2" t="s">
        <v>9</v>
      </c>
    </row>
    <row r="8" spans="2:5" x14ac:dyDescent="0.3">
      <c r="B8" s="37"/>
      <c r="C8" s="2" t="s">
        <v>10</v>
      </c>
      <c r="D8" s="3">
        <f>SUM(D3:D7)</f>
        <v>173508792</v>
      </c>
      <c r="E8" s="2"/>
    </row>
    <row r="9" spans="2:5" x14ac:dyDescent="0.3">
      <c r="B9" s="35" t="s">
        <v>11</v>
      </c>
      <c r="C9" s="4" t="s">
        <v>12</v>
      </c>
      <c r="D9" s="5">
        <v>126292947</v>
      </c>
      <c r="E9" s="2" t="s">
        <v>21</v>
      </c>
    </row>
    <row r="10" spans="2:5" x14ac:dyDescent="0.3">
      <c r="B10" s="36"/>
      <c r="C10" s="2" t="s">
        <v>13</v>
      </c>
      <c r="D10" s="3">
        <v>28384583</v>
      </c>
      <c r="E10" s="2"/>
    </row>
    <row r="11" spans="2:5" x14ac:dyDescent="0.3">
      <c r="B11" s="36"/>
      <c r="C11" s="2" t="s">
        <v>14</v>
      </c>
      <c r="D11" s="3">
        <v>2313246</v>
      </c>
      <c r="E11" s="2"/>
    </row>
    <row r="12" spans="2:5" x14ac:dyDescent="0.3">
      <c r="B12" s="36"/>
      <c r="C12" s="2" t="s">
        <v>15</v>
      </c>
      <c r="D12" s="3">
        <v>14733524</v>
      </c>
      <c r="E12" s="2" t="s">
        <v>24</v>
      </c>
    </row>
    <row r="13" spans="2:5" x14ac:dyDescent="0.3">
      <c r="B13" s="37"/>
      <c r="C13" s="2" t="s">
        <v>10</v>
      </c>
      <c r="D13" s="3">
        <f>SUM(D9:D12)</f>
        <v>171724300</v>
      </c>
      <c r="E13" s="2"/>
    </row>
    <row r="14" spans="2:5" x14ac:dyDescent="0.3">
      <c r="B14" s="38" t="s">
        <v>22</v>
      </c>
      <c r="C14" s="39"/>
      <c r="D14" s="5">
        <f>D8+D13</f>
        <v>345233092</v>
      </c>
      <c r="E14" s="2"/>
    </row>
    <row r="15" spans="2:5" x14ac:dyDescent="0.3">
      <c r="B15" s="35" t="s">
        <v>16</v>
      </c>
      <c r="C15" s="2" t="s">
        <v>17</v>
      </c>
      <c r="D15" s="3">
        <v>10527208</v>
      </c>
      <c r="E15" s="2"/>
    </row>
    <row r="16" spans="2:5" x14ac:dyDescent="0.3">
      <c r="B16" s="36"/>
      <c r="C16" s="2" t="s">
        <v>18</v>
      </c>
      <c r="D16" s="3">
        <v>15042596</v>
      </c>
      <c r="E16" s="2"/>
    </row>
    <row r="17" spans="2:5" x14ac:dyDescent="0.3">
      <c r="B17" s="36"/>
      <c r="C17" s="2" t="s">
        <v>19</v>
      </c>
      <c r="D17" s="3">
        <v>10793416</v>
      </c>
      <c r="E17" s="2"/>
    </row>
    <row r="18" spans="2:5" x14ac:dyDescent="0.3">
      <c r="B18" s="37"/>
      <c r="C18" s="4" t="s">
        <v>10</v>
      </c>
      <c r="D18" s="5">
        <f>SUM(D15:D17)</f>
        <v>36363220</v>
      </c>
      <c r="E18" s="2" t="s">
        <v>20</v>
      </c>
    </row>
  </sheetData>
  <mergeCells count="5">
    <mergeCell ref="B3:B8"/>
    <mergeCell ref="B9:B13"/>
    <mergeCell ref="B15:B18"/>
    <mergeCell ref="B14:C14"/>
    <mergeCell ref="B1:E1"/>
  </mergeCells>
  <phoneticPr fontId="2" type="noConversion"/>
  <pageMargins left="0.7" right="0.7" top="0.75" bottom="0.75" header="0.3" footer="0.3"/>
  <pageSetup paperSize="9" scale="78" orientation="portrait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95C3D-2A03-49B0-9546-67EFE3E0B716}">
  <dimension ref="B1:E18"/>
  <sheetViews>
    <sheetView view="pageBreakPreview" zoomScale="115" zoomScaleNormal="100" zoomScaleSheetLayoutView="115" workbookViewId="0">
      <selection activeCell="D27" sqref="D27"/>
    </sheetView>
  </sheetViews>
  <sheetFormatPr defaultRowHeight="16.5" x14ac:dyDescent="0.3"/>
  <cols>
    <col min="2" max="2" width="16.5" bestFit="1" customWidth="1"/>
    <col min="3" max="3" width="19" bestFit="1" customWidth="1"/>
    <col min="4" max="4" width="19.875" style="1" customWidth="1"/>
    <col min="5" max="5" width="38" bestFit="1" customWidth="1"/>
  </cols>
  <sheetData>
    <row r="1" spans="2:5" ht="29.65" customHeight="1" x14ac:dyDescent="0.3">
      <c r="B1" s="34" t="s">
        <v>44</v>
      </c>
      <c r="C1" s="34"/>
      <c r="D1" s="34"/>
      <c r="E1" s="34"/>
    </row>
    <row r="2" spans="2:5" x14ac:dyDescent="0.3">
      <c r="B2" s="2"/>
      <c r="C2" s="2" t="s">
        <v>4</v>
      </c>
      <c r="D2" s="12" t="s">
        <v>3</v>
      </c>
      <c r="E2" s="2" t="s">
        <v>2</v>
      </c>
    </row>
    <row r="3" spans="2:5" x14ac:dyDescent="0.3">
      <c r="B3" s="35" t="s">
        <v>0</v>
      </c>
      <c r="C3" s="4" t="s">
        <v>12</v>
      </c>
      <c r="D3" s="13">
        <v>187876932</v>
      </c>
      <c r="E3" s="7" t="s">
        <v>21</v>
      </c>
    </row>
    <row r="4" spans="2:5" x14ac:dyDescent="0.3">
      <c r="B4" s="36"/>
      <c r="C4" s="2" t="s">
        <v>1</v>
      </c>
      <c r="D4" s="14">
        <v>38811344</v>
      </c>
      <c r="E4" s="7" t="s">
        <v>45</v>
      </c>
    </row>
    <row r="5" spans="2:5" x14ac:dyDescent="0.3">
      <c r="B5" s="36"/>
      <c r="C5" s="2" t="s">
        <v>6</v>
      </c>
      <c r="D5" s="14">
        <v>1714378</v>
      </c>
      <c r="E5" s="7" t="s">
        <v>23</v>
      </c>
    </row>
    <row r="6" spans="2:5" x14ac:dyDescent="0.3">
      <c r="B6" s="36"/>
      <c r="C6" s="2" t="s">
        <v>7</v>
      </c>
      <c r="D6" s="14">
        <v>2213597</v>
      </c>
      <c r="E6" s="7"/>
    </row>
    <row r="7" spans="2:5" x14ac:dyDescent="0.3">
      <c r="B7" s="36"/>
      <c r="C7" s="2" t="s">
        <v>8</v>
      </c>
      <c r="D7" s="14">
        <v>15054445</v>
      </c>
      <c r="E7" s="7" t="s">
        <v>9</v>
      </c>
    </row>
    <row r="8" spans="2:5" x14ac:dyDescent="0.3">
      <c r="B8" s="37"/>
      <c r="C8" s="2" t="s">
        <v>10</v>
      </c>
      <c r="D8" s="14">
        <f>SUM(D3:D7)</f>
        <v>245670696</v>
      </c>
      <c r="E8" s="7"/>
    </row>
    <row r="9" spans="2:5" x14ac:dyDescent="0.3">
      <c r="B9" s="35" t="s">
        <v>11</v>
      </c>
      <c r="C9" s="4" t="s">
        <v>12</v>
      </c>
      <c r="D9" s="15">
        <v>126772538</v>
      </c>
      <c r="E9" s="7" t="s">
        <v>21</v>
      </c>
    </row>
    <row r="10" spans="2:5" x14ac:dyDescent="0.3">
      <c r="B10" s="36"/>
      <c r="C10" s="2" t="s">
        <v>13</v>
      </c>
      <c r="D10" s="16">
        <v>27821612</v>
      </c>
      <c r="E10" s="7"/>
    </row>
    <row r="11" spans="2:5" x14ac:dyDescent="0.3">
      <c r="B11" s="36"/>
      <c r="C11" s="2" t="s">
        <v>14</v>
      </c>
      <c r="D11" s="16">
        <v>2498928</v>
      </c>
      <c r="E11" s="7"/>
    </row>
    <row r="12" spans="2:5" x14ac:dyDescent="0.3">
      <c r="B12" s="36"/>
      <c r="C12" s="2" t="s">
        <v>15</v>
      </c>
      <c r="D12" s="16">
        <v>13472382</v>
      </c>
      <c r="E12" s="7" t="s">
        <v>24</v>
      </c>
    </row>
    <row r="13" spans="2:5" x14ac:dyDescent="0.3">
      <c r="B13" s="37"/>
      <c r="C13" s="2" t="s">
        <v>10</v>
      </c>
      <c r="D13" s="16">
        <f>SUM(D9:D12)</f>
        <v>170565460</v>
      </c>
      <c r="E13" s="7"/>
    </row>
    <row r="14" spans="2:5" x14ac:dyDescent="0.3">
      <c r="B14" s="38" t="s">
        <v>22</v>
      </c>
      <c r="C14" s="39"/>
      <c r="D14" s="15">
        <f>D8+D13</f>
        <v>416236156</v>
      </c>
      <c r="E14" s="7"/>
    </row>
    <row r="15" spans="2:5" x14ac:dyDescent="0.3">
      <c r="B15" s="35" t="s">
        <v>16</v>
      </c>
      <c r="C15" s="2" t="s">
        <v>46</v>
      </c>
      <c r="D15" s="12">
        <v>10758851</v>
      </c>
      <c r="E15" s="7"/>
    </row>
    <row r="16" spans="2:5" x14ac:dyDescent="0.3">
      <c r="B16" s="36"/>
      <c r="C16" s="2" t="s">
        <v>47</v>
      </c>
      <c r="D16" s="12">
        <v>13513562</v>
      </c>
      <c r="E16" s="7"/>
    </row>
    <row r="17" spans="2:5" x14ac:dyDescent="0.3">
      <c r="B17" s="36"/>
      <c r="C17" s="2" t="s">
        <v>48</v>
      </c>
      <c r="D17" s="12">
        <v>12053279</v>
      </c>
      <c r="E17" s="7"/>
    </row>
    <row r="18" spans="2:5" x14ac:dyDescent="0.3">
      <c r="B18" s="37"/>
      <c r="C18" s="4" t="s">
        <v>10</v>
      </c>
      <c r="D18" s="17">
        <f>SUM(D15:D17)</f>
        <v>36325692</v>
      </c>
      <c r="E18" s="7" t="s">
        <v>20</v>
      </c>
    </row>
  </sheetData>
  <mergeCells count="5">
    <mergeCell ref="B1:E1"/>
    <mergeCell ref="B3:B8"/>
    <mergeCell ref="B9:B13"/>
    <mergeCell ref="B14:C14"/>
    <mergeCell ref="B15:B18"/>
  </mergeCells>
  <phoneticPr fontId="2" type="noConversion"/>
  <pageMargins left="0.7" right="0.7" top="0.75" bottom="0.75" header="0.3" footer="0.3"/>
  <pageSetup paperSize="9" scale="78" orientation="portrait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83707-FC51-4432-8FB6-A9F5A30BFC0C}">
  <dimension ref="B1:E18"/>
  <sheetViews>
    <sheetView view="pageBreakPreview" zoomScale="115" zoomScaleNormal="100" zoomScaleSheetLayoutView="115" workbookViewId="0">
      <selection activeCell="E13" sqref="E13"/>
    </sheetView>
  </sheetViews>
  <sheetFormatPr defaultRowHeight="16.5" x14ac:dyDescent="0.3"/>
  <cols>
    <col min="2" max="2" width="16.5" bestFit="1" customWidth="1"/>
    <col min="3" max="3" width="19" bestFit="1" customWidth="1"/>
    <col min="4" max="4" width="19.875" style="1" customWidth="1"/>
    <col min="5" max="5" width="47" customWidth="1"/>
  </cols>
  <sheetData>
    <row r="1" spans="2:5" ht="29.65" customHeight="1" x14ac:dyDescent="0.3">
      <c r="B1" s="34" t="s">
        <v>30</v>
      </c>
      <c r="C1" s="34"/>
      <c r="D1" s="34"/>
      <c r="E1" s="34"/>
    </row>
    <row r="2" spans="2:5" x14ac:dyDescent="0.3">
      <c r="B2" s="2"/>
      <c r="C2" s="2" t="s">
        <v>4</v>
      </c>
      <c r="D2" s="3" t="s">
        <v>3</v>
      </c>
      <c r="E2" s="2" t="s">
        <v>37</v>
      </c>
    </row>
    <row r="3" spans="2:5" x14ac:dyDescent="0.3">
      <c r="B3" s="35" t="s">
        <v>0</v>
      </c>
      <c r="C3" s="4" t="s">
        <v>5</v>
      </c>
      <c r="D3" s="6">
        <v>164821692</v>
      </c>
      <c r="E3" s="2" t="s">
        <v>21</v>
      </c>
    </row>
    <row r="4" spans="2:5" x14ac:dyDescent="0.3">
      <c r="B4" s="36"/>
      <c r="C4" s="2" t="s">
        <v>1</v>
      </c>
      <c r="D4" s="3">
        <v>38009915</v>
      </c>
      <c r="E4" s="2" t="s">
        <v>34</v>
      </c>
    </row>
    <row r="5" spans="2:5" x14ac:dyDescent="0.3">
      <c r="B5" s="36"/>
      <c r="C5" s="2" t="s">
        <v>6</v>
      </c>
      <c r="D5" s="3">
        <v>1493073</v>
      </c>
      <c r="E5" s="2" t="s">
        <v>35</v>
      </c>
    </row>
    <row r="6" spans="2:5" x14ac:dyDescent="0.3">
      <c r="B6" s="36"/>
      <c r="C6" s="2" t="s">
        <v>7</v>
      </c>
      <c r="D6" s="3">
        <v>2201665</v>
      </c>
      <c r="E6" s="2" t="s">
        <v>36</v>
      </c>
    </row>
    <row r="7" spans="2:5" x14ac:dyDescent="0.3">
      <c r="B7" s="36"/>
      <c r="C7" s="2" t="s">
        <v>8</v>
      </c>
      <c r="D7" s="3">
        <v>12702008</v>
      </c>
      <c r="E7" s="2" t="s">
        <v>9</v>
      </c>
    </row>
    <row r="8" spans="2:5" x14ac:dyDescent="0.3">
      <c r="B8" s="37"/>
      <c r="C8" s="2" t="s">
        <v>10</v>
      </c>
      <c r="D8" s="3">
        <f>SUM(D3:D7)</f>
        <v>219228353</v>
      </c>
      <c r="E8" s="2"/>
    </row>
    <row r="9" spans="2:5" x14ac:dyDescent="0.3">
      <c r="B9" s="35" t="s">
        <v>11</v>
      </c>
      <c r="C9" s="4" t="s">
        <v>5</v>
      </c>
      <c r="D9" s="5">
        <v>159755719</v>
      </c>
      <c r="E9" s="2" t="s">
        <v>21</v>
      </c>
    </row>
    <row r="10" spans="2:5" x14ac:dyDescent="0.3">
      <c r="B10" s="36"/>
      <c r="C10" s="2" t="s">
        <v>13</v>
      </c>
      <c r="D10" s="3">
        <v>35418993</v>
      </c>
      <c r="E10" s="2"/>
    </row>
    <row r="11" spans="2:5" x14ac:dyDescent="0.3">
      <c r="B11" s="36"/>
      <c r="C11" s="2" t="s">
        <v>14</v>
      </c>
      <c r="D11" s="3">
        <v>3538681</v>
      </c>
      <c r="E11" s="2"/>
    </row>
    <row r="12" spans="2:5" x14ac:dyDescent="0.3">
      <c r="B12" s="36"/>
      <c r="C12" s="2" t="s">
        <v>15</v>
      </c>
      <c r="D12" s="3">
        <v>15201751</v>
      </c>
      <c r="E12" s="2" t="s">
        <v>24</v>
      </c>
    </row>
    <row r="13" spans="2:5" x14ac:dyDescent="0.3">
      <c r="B13" s="37"/>
      <c r="C13" s="2" t="s">
        <v>10</v>
      </c>
      <c r="D13" s="3">
        <f>SUM(D9:D12)</f>
        <v>213915144</v>
      </c>
      <c r="E13" s="2"/>
    </row>
    <row r="14" spans="2:5" x14ac:dyDescent="0.3">
      <c r="B14" s="38" t="s">
        <v>22</v>
      </c>
      <c r="C14" s="39"/>
      <c r="D14" s="5">
        <f>D8+D13</f>
        <v>433143497</v>
      </c>
      <c r="E14" s="2"/>
    </row>
    <row r="15" spans="2:5" x14ac:dyDescent="0.3">
      <c r="B15" s="35" t="s">
        <v>16</v>
      </c>
      <c r="C15" s="2" t="s">
        <v>31</v>
      </c>
      <c r="D15" s="3">
        <v>13374917</v>
      </c>
      <c r="E15" s="2"/>
    </row>
    <row r="16" spans="2:5" x14ac:dyDescent="0.3">
      <c r="B16" s="36"/>
      <c r="C16" s="2" t="s">
        <v>32</v>
      </c>
      <c r="D16" s="3">
        <v>12324838</v>
      </c>
      <c r="E16" s="2"/>
    </row>
    <row r="17" spans="2:5" x14ac:dyDescent="0.3">
      <c r="B17" s="36"/>
      <c r="C17" s="2" t="s">
        <v>33</v>
      </c>
      <c r="D17" s="3">
        <v>19512422</v>
      </c>
      <c r="E17" s="2"/>
    </row>
    <row r="18" spans="2:5" x14ac:dyDescent="0.3">
      <c r="B18" s="37"/>
      <c r="C18" s="4" t="s">
        <v>10</v>
      </c>
      <c r="D18" s="5">
        <f>SUM(D15:D17)</f>
        <v>45212177</v>
      </c>
      <c r="E18" s="2" t="s">
        <v>20</v>
      </c>
    </row>
  </sheetData>
  <mergeCells count="5">
    <mergeCell ref="B1:E1"/>
    <mergeCell ref="B3:B8"/>
    <mergeCell ref="B9:B13"/>
    <mergeCell ref="B14:C14"/>
    <mergeCell ref="B15:B18"/>
  </mergeCells>
  <phoneticPr fontId="2" type="noConversion"/>
  <pageMargins left="0.7" right="0.7" top="0.75" bottom="0.75" header="0.3" footer="0.3"/>
  <pageSetup paperSize="9" scale="72" orientation="portrait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CBE85-F7FD-4722-87E1-838DA286CFAB}">
  <dimension ref="A1:D21"/>
  <sheetViews>
    <sheetView view="pageBreakPreview" topLeftCell="A7" zoomScale="115" zoomScaleNormal="100" zoomScaleSheetLayoutView="115" workbookViewId="0">
      <selection activeCell="C16" sqref="C16"/>
    </sheetView>
  </sheetViews>
  <sheetFormatPr defaultRowHeight="16.5" x14ac:dyDescent="0.3"/>
  <cols>
    <col min="1" max="1" width="16.5" bestFit="1" customWidth="1"/>
    <col min="2" max="2" width="19" bestFit="1" customWidth="1"/>
    <col min="3" max="3" width="19.875" style="1" customWidth="1"/>
    <col min="4" max="4" width="52.625" customWidth="1"/>
  </cols>
  <sheetData>
    <row r="1" spans="1:4" ht="29.65" customHeight="1" x14ac:dyDescent="0.3">
      <c r="A1" s="34" t="s">
        <v>38</v>
      </c>
      <c r="B1" s="34"/>
      <c r="C1" s="34"/>
      <c r="D1" s="34"/>
    </row>
    <row r="2" spans="1:4" x14ac:dyDescent="0.3">
      <c r="A2" s="2"/>
      <c r="B2" s="2" t="s">
        <v>4</v>
      </c>
      <c r="C2" s="3" t="s">
        <v>3</v>
      </c>
      <c r="D2" s="2" t="s">
        <v>37</v>
      </c>
    </row>
    <row r="3" spans="1:4" x14ac:dyDescent="0.3">
      <c r="A3" s="40" t="s">
        <v>39</v>
      </c>
      <c r="B3" s="7" t="s">
        <v>5</v>
      </c>
      <c r="C3" s="8">
        <v>221397485</v>
      </c>
      <c r="D3" s="2" t="s">
        <v>21</v>
      </c>
    </row>
    <row r="4" spans="1:4" x14ac:dyDescent="0.3">
      <c r="A4" s="36"/>
      <c r="B4" s="2" t="s">
        <v>1</v>
      </c>
      <c r="C4" s="3">
        <v>38641969</v>
      </c>
      <c r="D4" s="2" t="s">
        <v>34</v>
      </c>
    </row>
    <row r="5" spans="1:4" x14ac:dyDescent="0.3">
      <c r="A5" s="36"/>
      <c r="B5" s="2" t="s">
        <v>6</v>
      </c>
      <c r="C5" s="3">
        <v>1240690</v>
      </c>
      <c r="D5" s="2" t="s">
        <v>35</v>
      </c>
    </row>
    <row r="6" spans="1:4" x14ac:dyDescent="0.3">
      <c r="A6" s="36"/>
      <c r="B6" s="2" t="s">
        <v>7</v>
      </c>
      <c r="C6" s="3">
        <v>1945120</v>
      </c>
      <c r="D6" s="2" t="s">
        <v>36</v>
      </c>
    </row>
    <row r="7" spans="1:4" x14ac:dyDescent="0.3">
      <c r="A7" s="36"/>
      <c r="B7" s="2" t="s">
        <v>8</v>
      </c>
      <c r="C7" s="3">
        <v>17126704</v>
      </c>
      <c r="D7" s="2" t="s">
        <v>9</v>
      </c>
    </row>
    <row r="8" spans="1:4" x14ac:dyDescent="0.3">
      <c r="A8" s="37"/>
      <c r="B8" s="4" t="s">
        <v>10</v>
      </c>
      <c r="C8" s="5">
        <f>SUM(C3:C7)</f>
        <v>280351968</v>
      </c>
      <c r="D8" s="2"/>
    </row>
    <row r="9" spans="1:4" x14ac:dyDescent="0.3">
      <c r="A9" s="35" t="s">
        <v>11</v>
      </c>
      <c r="B9" s="7" t="s">
        <v>5</v>
      </c>
      <c r="C9" s="9">
        <v>163862203</v>
      </c>
      <c r="D9" s="2" t="s">
        <v>21</v>
      </c>
    </row>
    <row r="10" spans="1:4" x14ac:dyDescent="0.3">
      <c r="A10" s="36"/>
      <c r="B10" s="2" t="s">
        <v>13</v>
      </c>
      <c r="C10" s="3">
        <v>50916863</v>
      </c>
      <c r="D10" s="2"/>
    </row>
    <row r="11" spans="1:4" x14ac:dyDescent="0.3">
      <c r="A11" s="36"/>
      <c r="B11" s="2" t="s">
        <v>14</v>
      </c>
      <c r="C11" s="3">
        <v>3703467</v>
      </c>
      <c r="D11" s="2"/>
    </row>
    <row r="12" spans="1:4" x14ac:dyDescent="0.3">
      <c r="A12" s="36"/>
      <c r="B12" s="2" t="s">
        <v>15</v>
      </c>
      <c r="C12" s="3">
        <v>18403253</v>
      </c>
      <c r="D12" s="2" t="s">
        <v>24</v>
      </c>
    </row>
    <row r="13" spans="1:4" x14ac:dyDescent="0.3">
      <c r="A13" s="37"/>
      <c r="B13" s="4" t="s">
        <v>10</v>
      </c>
      <c r="C13" s="5">
        <f>SUM(C9:C12)</f>
        <v>236885786</v>
      </c>
      <c r="D13" s="2"/>
    </row>
    <row r="14" spans="1:4" x14ac:dyDescent="0.3">
      <c r="A14" s="40" t="s">
        <v>40</v>
      </c>
      <c r="B14" s="7" t="s">
        <v>5</v>
      </c>
      <c r="C14" s="9">
        <v>17243356</v>
      </c>
      <c r="D14" s="2" t="s">
        <v>21</v>
      </c>
    </row>
    <row r="15" spans="1:4" x14ac:dyDescent="0.3">
      <c r="A15" s="36"/>
      <c r="B15" s="2" t="s">
        <v>41</v>
      </c>
      <c r="C15" s="3">
        <v>26857839</v>
      </c>
      <c r="D15" s="2" t="s">
        <v>42</v>
      </c>
    </row>
    <row r="16" spans="1:4" x14ac:dyDescent="0.3">
      <c r="A16" s="37"/>
      <c r="B16" s="4" t="s">
        <v>10</v>
      </c>
      <c r="C16" s="5">
        <f>SUM(C14:C15)</f>
        <v>44101195</v>
      </c>
      <c r="D16" s="2"/>
    </row>
    <row r="17" spans="1:4" x14ac:dyDescent="0.3">
      <c r="A17" s="38" t="s">
        <v>22</v>
      </c>
      <c r="B17" s="39"/>
      <c r="C17" s="5">
        <f>C8+C13+C16</f>
        <v>561338949</v>
      </c>
      <c r="D17" s="2"/>
    </row>
    <row r="18" spans="1:4" x14ac:dyDescent="0.3">
      <c r="A18" s="35" t="s">
        <v>16</v>
      </c>
      <c r="B18" s="2" t="s">
        <v>27</v>
      </c>
      <c r="C18" s="3">
        <v>28317377</v>
      </c>
      <c r="D18" s="2"/>
    </row>
    <row r="19" spans="1:4" x14ac:dyDescent="0.3">
      <c r="A19" s="36"/>
      <c r="B19" s="2" t="s">
        <v>28</v>
      </c>
      <c r="C19" s="3">
        <v>27466781</v>
      </c>
      <c r="D19" s="2"/>
    </row>
    <row r="20" spans="1:4" x14ac:dyDescent="0.3">
      <c r="A20" s="36"/>
      <c r="B20" s="2" t="s">
        <v>29</v>
      </c>
      <c r="C20" s="3">
        <v>32413044</v>
      </c>
      <c r="D20" s="2"/>
    </row>
    <row r="21" spans="1:4" x14ac:dyDescent="0.3">
      <c r="A21" s="37"/>
      <c r="B21" s="4" t="s">
        <v>10</v>
      </c>
      <c r="C21" s="5">
        <f>SUM(C18:C20)</f>
        <v>88197202</v>
      </c>
      <c r="D21" s="2" t="s">
        <v>43</v>
      </c>
    </row>
  </sheetData>
  <mergeCells count="6">
    <mergeCell ref="A1:D1"/>
    <mergeCell ref="A3:A8"/>
    <mergeCell ref="A9:A13"/>
    <mergeCell ref="A17:B17"/>
    <mergeCell ref="A18:A21"/>
    <mergeCell ref="A14:A16"/>
  </mergeCells>
  <phoneticPr fontId="2" type="noConversion"/>
  <pageMargins left="0.7" right="0.7" top="0.75" bottom="0.75" header="0.3" footer="0.3"/>
  <pageSetup paperSize="9" scale="66" orientation="portrait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67C73-BB65-4D95-B9B9-0981FA3655ED}">
  <dimension ref="A1:D21"/>
  <sheetViews>
    <sheetView view="pageBreakPreview" zoomScale="115" zoomScaleNormal="100" zoomScaleSheetLayoutView="115" workbookViewId="0">
      <selection activeCell="J5" sqref="J5"/>
    </sheetView>
  </sheetViews>
  <sheetFormatPr defaultRowHeight="16.5" x14ac:dyDescent="0.3"/>
  <cols>
    <col min="1" max="1" width="16.5" bestFit="1" customWidth="1"/>
    <col min="2" max="2" width="19" bestFit="1" customWidth="1"/>
    <col min="3" max="3" width="19.875" style="1" customWidth="1"/>
    <col min="4" max="4" width="52.625" customWidth="1"/>
  </cols>
  <sheetData>
    <row r="1" spans="1:4" ht="29.65" customHeight="1" x14ac:dyDescent="0.3">
      <c r="A1" s="34" t="s">
        <v>56</v>
      </c>
      <c r="B1" s="34"/>
      <c r="C1" s="34"/>
      <c r="D1" s="34"/>
    </row>
    <row r="2" spans="1:4" x14ac:dyDescent="0.3">
      <c r="A2" s="2"/>
      <c r="B2" s="2" t="s">
        <v>4</v>
      </c>
      <c r="C2" s="3" t="s">
        <v>3</v>
      </c>
      <c r="D2" s="2" t="s">
        <v>37</v>
      </c>
    </row>
    <row r="3" spans="1:4" x14ac:dyDescent="0.3">
      <c r="A3" s="40" t="s">
        <v>39</v>
      </c>
      <c r="B3" s="7" t="s">
        <v>5</v>
      </c>
      <c r="C3" s="19">
        <v>231397683</v>
      </c>
      <c r="D3" s="2"/>
    </row>
    <row r="4" spans="1:4" x14ac:dyDescent="0.3">
      <c r="A4" s="36"/>
      <c r="B4" s="2" t="s">
        <v>1</v>
      </c>
      <c r="C4" s="3">
        <v>38570811</v>
      </c>
      <c r="D4" s="2" t="s">
        <v>34</v>
      </c>
    </row>
    <row r="5" spans="1:4" x14ac:dyDescent="0.3">
      <c r="A5" s="36"/>
      <c r="B5" s="2" t="s">
        <v>6</v>
      </c>
      <c r="C5" s="3">
        <v>912282</v>
      </c>
      <c r="D5" s="2" t="s">
        <v>35</v>
      </c>
    </row>
    <row r="6" spans="1:4" x14ac:dyDescent="0.3">
      <c r="A6" s="36"/>
      <c r="B6" s="2" t="s">
        <v>7</v>
      </c>
      <c r="C6" s="3">
        <v>1507497</v>
      </c>
      <c r="D6" s="2" t="s">
        <v>36</v>
      </c>
    </row>
    <row r="7" spans="1:4" x14ac:dyDescent="0.3">
      <c r="A7" s="36"/>
      <c r="B7" s="2" t="s">
        <v>8</v>
      </c>
      <c r="C7" s="3">
        <v>17090961</v>
      </c>
      <c r="D7" s="2" t="s">
        <v>9</v>
      </c>
    </row>
    <row r="8" spans="1:4" x14ac:dyDescent="0.3">
      <c r="A8" s="37"/>
      <c r="B8" s="4" t="s">
        <v>10</v>
      </c>
      <c r="C8" s="5">
        <f>SUM(C3:C7)</f>
        <v>289479234</v>
      </c>
      <c r="D8" s="2"/>
    </row>
    <row r="9" spans="1:4" x14ac:dyDescent="0.3">
      <c r="A9" s="35" t="s">
        <v>11</v>
      </c>
      <c r="B9" s="7" t="s">
        <v>5</v>
      </c>
      <c r="C9" s="9">
        <v>166447348</v>
      </c>
      <c r="D9" s="2" t="s">
        <v>21</v>
      </c>
    </row>
    <row r="10" spans="1:4" x14ac:dyDescent="0.3">
      <c r="A10" s="36"/>
      <c r="B10" s="2" t="s">
        <v>13</v>
      </c>
      <c r="C10" s="3">
        <v>53613926</v>
      </c>
      <c r="D10" s="2"/>
    </row>
    <row r="11" spans="1:4" x14ac:dyDescent="0.3">
      <c r="A11" s="36"/>
      <c r="B11" s="2" t="s">
        <v>14</v>
      </c>
      <c r="C11" s="3">
        <v>3023384</v>
      </c>
      <c r="D11" s="2"/>
    </row>
    <row r="12" spans="1:4" x14ac:dyDescent="0.3">
      <c r="A12" s="36"/>
      <c r="B12" s="2" t="s">
        <v>15</v>
      </c>
      <c r="C12" s="3">
        <v>17955563</v>
      </c>
      <c r="D12" s="2" t="s">
        <v>24</v>
      </c>
    </row>
    <row r="13" spans="1:4" x14ac:dyDescent="0.3">
      <c r="A13" s="37"/>
      <c r="B13" s="4" t="s">
        <v>10</v>
      </c>
      <c r="C13" s="5">
        <f>SUM(C9:C12)</f>
        <v>241040221</v>
      </c>
      <c r="D13" s="2"/>
    </row>
    <row r="14" spans="1:4" x14ac:dyDescent="0.3">
      <c r="A14" s="40" t="s">
        <v>40</v>
      </c>
      <c r="B14" s="7" t="s">
        <v>5</v>
      </c>
      <c r="C14" s="9">
        <v>21435585</v>
      </c>
      <c r="D14" s="2" t="s">
        <v>21</v>
      </c>
    </row>
    <row r="15" spans="1:4" x14ac:dyDescent="0.3">
      <c r="A15" s="36"/>
      <c r="B15" s="2" t="s">
        <v>41</v>
      </c>
      <c r="C15" s="3">
        <v>33392891</v>
      </c>
      <c r="D15" s="2" t="s">
        <v>42</v>
      </c>
    </row>
    <row r="16" spans="1:4" x14ac:dyDescent="0.3">
      <c r="A16" s="37"/>
      <c r="B16" s="4" t="s">
        <v>10</v>
      </c>
      <c r="C16" s="5">
        <f>SUM(C14:C15)</f>
        <v>54828476</v>
      </c>
      <c r="D16" s="2"/>
    </row>
    <row r="17" spans="1:4" x14ac:dyDescent="0.3">
      <c r="A17" s="38" t="s">
        <v>22</v>
      </c>
      <c r="B17" s="39"/>
      <c r="C17" s="5">
        <f>C8+C13+C16</f>
        <v>585347931</v>
      </c>
      <c r="D17" s="2"/>
    </row>
    <row r="18" spans="1:4" x14ac:dyDescent="0.3">
      <c r="A18" s="35" t="s">
        <v>16</v>
      </c>
      <c r="B18" s="2" t="s">
        <v>17</v>
      </c>
      <c r="C18" s="3">
        <v>34841991</v>
      </c>
      <c r="D18" s="2"/>
    </row>
    <row r="19" spans="1:4" x14ac:dyDescent="0.3">
      <c r="A19" s="36"/>
      <c r="B19" s="2" t="s">
        <v>18</v>
      </c>
      <c r="C19" s="3">
        <v>35550636</v>
      </c>
      <c r="D19" s="2"/>
    </row>
    <row r="20" spans="1:4" x14ac:dyDescent="0.3">
      <c r="A20" s="36"/>
      <c r="B20" s="2" t="s">
        <v>19</v>
      </c>
      <c r="C20" s="3">
        <v>28170929</v>
      </c>
      <c r="D20" s="2"/>
    </row>
    <row r="21" spans="1:4" x14ac:dyDescent="0.3">
      <c r="A21" s="37"/>
      <c r="B21" s="4" t="s">
        <v>10</v>
      </c>
      <c r="C21" s="5">
        <f>SUM(C18:C20)</f>
        <v>98563556</v>
      </c>
      <c r="D21" s="2" t="s">
        <v>43</v>
      </c>
    </row>
  </sheetData>
  <mergeCells count="6">
    <mergeCell ref="A18:A21"/>
    <mergeCell ref="A1:D1"/>
    <mergeCell ref="A3:A8"/>
    <mergeCell ref="A9:A13"/>
    <mergeCell ref="A14:A16"/>
    <mergeCell ref="A17:B17"/>
  </mergeCells>
  <phoneticPr fontId="2" type="noConversion"/>
  <pageMargins left="0.7" right="0.7" top="0.75" bottom="0.75" header="0.3" footer="0.3"/>
  <pageSetup paperSize="9" scale="66" orientation="portrait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CE68C-7507-4A2D-A3BC-683AF01C403A}">
  <dimension ref="A1:D21"/>
  <sheetViews>
    <sheetView view="pageBreakPreview" zoomScale="115" zoomScaleNormal="100" zoomScaleSheetLayoutView="115" workbookViewId="0">
      <selection activeCell="D25" sqref="D25"/>
    </sheetView>
  </sheetViews>
  <sheetFormatPr defaultRowHeight="16.5" x14ac:dyDescent="0.3"/>
  <cols>
    <col min="1" max="1" width="16.5" bestFit="1" customWidth="1"/>
    <col min="2" max="2" width="19" bestFit="1" customWidth="1"/>
    <col min="3" max="3" width="19.875" style="1" customWidth="1"/>
    <col min="4" max="4" width="52.625" customWidth="1"/>
  </cols>
  <sheetData>
    <row r="1" spans="1:4" ht="29.65" customHeight="1" x14ac:dyDescent="0.3">
      <c r="A1" s="34" t="s">
        <v>58</v>
      </c>
      <c r="B1" s="34"/>
      <c r="C1" s="34"/>
      <c r="D1" s="34"/>
    </row>
    <row r="2" spans="1:4" x14ac:dyDescent="0.3">
      <c r="A2" s="2"/>
      <c r="B2" s="2" t="s">
        <v>4</v>
      </c>
      <c r="C2" s="3" t="s">
        <v>3</v>
      </c>
      <c r="D2" s="2" t="s">
        <v>37</v>
      </c>
    </row>
    <row r="3" spans="1:4" x14ac:dyDescent="0.3">
      <c r="A3" s="40" t="s">
        <v>39</v>
      </c>
      <c r="B3" s="7" t="s">
        <v>5</v>
      </c>
      <c r="C3" s="20">
        <v>281047882</v>
      </c>
      <c r="D3" s="2"/>
    </row>
    <row r="4" spans="1:4" x14ac:dyDescent="0.3">
      <c r="A4" s="36"/>
      <c r="B4" s="2" t="s">
        <v>1</v>
      </c>
      <c r="C4" s="21">
        <v>53265073</v>
      </c>
      <c r="D4" s="2" t="s">
        <v>34</v>
      </c>
    </row>
    <row r="5" spans="1:4" x14ac:dyDescent="0.3">
      <c r="A5" s="36"/>
      <c r="B5" s="2" t="s">
        <v>6</v>
      </c>
      <c r="C5" s="20">
        <v>595628</v>
      </c>
      <c r="D5" s="2" t="s">
        <v>35</v>
      </c>
    </row>
    <row r="6" spans="1:4" x14ac:dyDescent="0.3">
      <c r="A6" s="36"/>
      <c r="B6" s="2" t="s">
        <v>7</v>
      </c>
      <c r="C6" s="20">
        <v>1841086</v>
      </c>
      <c r="D6" s="2" t="s">
        <v>36</v>
      </c>
    </row>
    <row r="7" spans="1:4" x14ac:dyDescent="0.3">
      <c r="A7" s="36"/>
      <c r="B7" s="2" t="s">
        <v>8</v>
      </c>
      <c r="C7" s="20">
        <v>19941119</v>
      </c>
      <c r="D7" s="2" t="s">
        <v>9</v>
      </c>
    </row>
    <row r="8" spans="1:4" x14ac:dyDescent="0.3">
      <c r="A8" s="37"/>
      <c r="B8" s="4" t="s">
        <v>10</v>
      </c>
      <c r="C8" s="5">
        <f>SUM(C3:C7)</f>
        <v>356690788</v>
      </c>
      <c r="D8" s="2"/>
    </row>
    <row r="9" spans="1:4" x14ac:dyDescent="0.3">
      <c r="A9" s="35" t="s">
        <v>11</v>
      </c>
      <c r="B9" s="7" t="s">
        <v>5</v>
      </c>
      <c r="C9" s="3">
        <v>134937876</v>
      </c>
      <c r="D9" s="2" t="s">
        <v>21</v>
      </c>
    </row>
    <row r="10" spans="1:4" x14ac:dyDescent="0.3">
      <c r="A10" s="36"/>
      <c r="B10" s="2" t="s">
        <v>13</v>
      </c>
      <c r="C10" s="3">
        <v>49366375</v>
      </c>
      <c r="D10" s="2"/>
    </row>
    <row r="11" spans="1:4" x14ac:dyDescent="0.3">
      <c r="A11" s="36"/>
      <c r="B11" s="2" t="s">
        <v>14</v>
      </c>
      <c r="C11" s="3">
        <v>2979504</v>
      </c>
      <c r="D11" s="2"/>
    </row>
    <row r="12" spans="1:4" x14ac:dyDescent="0.3">
      <c r="A12" s="36"/>
      <c r="B12" s="2" t="s">
        <v>15</v>
      </c>
      <c r="C12" s="3">
        <v>13946494</v>
      </c>
      <c r="D12" s="2" t="s">
        <v>24</v>
      </c>
    </row>
    <row r="13" spans="1:4" x14ac:dyDescent="0.3">
      <c r="A13" s="37"/>
      <c r="B13" s="4" t="s">
        <v>10</v>
      </c>
      <c r="C13" s="5">
        <f>SUM(C9:C12)</f>
        <v>201230249</v>
      </c>
      <c r="D13" s="2"/>
    </row>
    <row r="14" spans="1:4" x14ac:dyDescent="0.3">
      <c r="A14" s="40" t="s">
        <v>40</v>
      </c>
      <c r="B14" s="7" t="s">
        <v>5</v>
      </c>
      <c r="C14" s="21">
        <v>25190169</v>
      </c>
      <c r="D14" s="2" t="s">
        <v>21</v>
      </c>
    </row>
    <row r="15" spans="1:4" x14ac:dyDescent="0.3">
      <c r="A15" s="36"/>
      <c r="B15" s="2" t="s">
        <v>41</v>
      </c>
      <c r="C15" s="21">
        <v>39486658</v>
      </c>
      <c r="D15" s="2" t="s">
        <v>42</v>
      </c>
    </row>
    <row r="16" spans="1:4" x14ac:dyDescent="0.3">
      <c r="A16" s="37"/>
      <c r="B16" s="4" t="s">
        <v>10</v>
      </c>
      <c r="C16" s="5">
        <f>SUM(C14:C15)</f>
        <v>64676827</v>
      </c>
      <c r="D16" s="2"/>
    </row>
    <row r="17" spans="1:4" x14ac:dyDescent="0.3">
      <c r="A17" s="38" t="s">
        <v>22</v>
      </c>
      <c r="B17" s="39"/>
      <c r="C17" s="5">
        <f>C8+C13+C16</f>
        <v>622597864</v>
      </c>
      <c r="D17" s="2"/>
    </row>
    <row r="18" spans="1:4" x14ac:dyDescent="0.3">
      <c r="A18" s="35" t="s">
        <v>16</v>
      </c>
      <c r="B18" s="2" t="s">
        <v>46</v>
      </c>
      <c r="C18" s="3">
        <v>34657604</v>
      </c>
      <c r="D18" s="2"/>
    </row>
    <row r="19" spans="1:4" x14ac:dyDescent="0.3">
      <c r="A19" s="36"/>
      <c r="B19" s="2" t="s">
        <v>60</v>
      </c>
      <c r="C19" s="3">
        <v>31090706</v>
      </c>
      <c r="D19" s="2"/>
    </row>
    <row r="20" spans="1:4" x14ac:dyDescent="0.3">
      <c r="A20" s="36"/>
      <c r="B20" s="2" t="s">
        <v>61</v>
      </c>
      <c r="C20" s="3">
        <v>33208154</v>
      </c>
      <c r="D20" s="2"/>
    </row>
    <row r="21" spans="1:4" x14ac:dyDescent="0.3">
      <c r="A21" s="37"/>
      <c r="B21" s="4" t="s">
        <v>10</v>
      </c>
      <c r="C21" s="5">
        <f>SUM(C18:C20)</f>
        <v>98956464</v>
      </c>
      <c r="D21" s="2" t="s">
        <v>62</v>
      </c>
    </row>
  </sheetData>
  <mergeCells count="6">
    <mergeCell ref="A18:A21"/>
    <mergeCell ref="A1:D1"/>
    <mergeCell ref="A3:A8"/>
    <mergeCell ref="A9:A13"/>
    <mergeCell ref="A14:A16"/>
    <mergeCell ref="A17:B17"/>
  </mergeCells>
  <phoneticPr fontId="2" type="noConversion"/>
  <pageMargins left="0.7" right="0.7" top="0.75" bottom="0.75" header="0.3" footer="0.3"/>
  <pageSetup paperSize="9" scale="66" orientation="portrait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C59AA-ECAC-43D4-BF45-041CB686FC58}">
  <dimension ref="A1:D21"/>
  <sheetViews>
    <sheetView view="pageBreakPreview" zoomScale="115" zoomScaleNormal="100" zoomScaleSheetLayoutView="115" workbookViewId="0">
      <selection activeCell="C17" sqref="C17"/>
    </sheetView>
  </sheetViews>
  <sheetFormatPr defaultRowHeight="16.5" x14ac:dyDescent="0.3"/>
  <cols>
    <col min="1" max="1" width="16.5" bestFit="1" customWidth="1"/>
    <col min="2" max="2" width="19" bestFit="1" customWidth="1"/>
    <col min="3" max="3" width="19.875" style="1" customWidth="1"/>
    <col min="4" max="4" width="65.25" customWidth="1"/>
  </cols>
  <sheetData>
    <row r="1" spans="1:4" ht="29.65" customHeight="1" x14ac:dyDescent="0.3">
      <c r="A1" s="34" t="s">
        <v>63</v>
      </c>
      <c r="B1" s="34"/>
      <c r="C1" s="34"/>
      <c r="D1" s="34"/>
    </row>
    <row r="2" spans="1:4" x14ac:dyDescent="0.3">
      <c r="A2" s="2"/>
      <c r="B2" s="2" t="s">
        <v>4</v>
      </c>
      <c r="C2" s="3" t="s">
        <v>3</v>
      </c>
      <c r="D2" s="2" t="s">
        <v>37</v>
      </c>
    </row>
    <row r="3" spans="1:4" x14ac:dyDescent="0.3">
      <c r="A3" s="40" t="s">
        <v>39</v>
      </c>
      <c r="B3" s="7" t="s">
        <v>5</v>
      </c>
      <c r="C3" s="22">
        <v>330852535</v>
      </c>
      <c r="D3" s="2"/>
    </row>
    <row r="4" spans="1:4" x14ac:dyDescent="0.3">
      <c r="A4" s="36"/>
      <c r="B4" s="2" t="s">
        <v>1</v>
      </c>
      <c r="C4" s="21">
        <v>55337580</v>
      </c>
      <c r="D4" s="2" t="s">
        <v>64</v>
      </c>
    </row>
    <row r="5" spans="1:4" x14ac:dyDescent="0.3">
      <c r="A5" s="36"/>
      <c r="B5" s="2" t="s">
        <v>6</v>
      </c>
      <c r="C5" s="22">
        <v>682894</v>
      </c>
      <c r="D5" s="2" t="s">
        <v>65</v>
      </c>
    </row>
    <row r="6" spans="1:4" x14ac:dyDescent="0.3">
      <c r="A6" s="36"/>
      <c r="B6" s="2" t="s">
        <v>7</v>
      </c>
      <c r="C6" s="22">
        <v>2367038</v>
      </c>
      <c r="D6" s="2" t="s">
        <v>36</v>
      </c>
    </row>
    <row r="7" spans="1:4" x14ac:dyDescent="0.3">
      <c r="A7" s="36"/>
      <c r="B7" s="2" t="s">
        <v>8</v>
      </c>
      <c r="C7" s="22">
        <v>19291829</v>
      </c>
      <c r="D7" s="2" t="s">
        <v>9</v>
      </c>
    </row>
    <row r="8" spans="1:4" x14ac:dyDescent="0.3">
      <c r="A8" s="37"/>
      <c r="B8" s="4" t="s">
        <v>10</v>
      </c>
      <c r="C8" s="5">
        <f>SUM(C3:C7)</f>
        <v>408531876</v>
      </c>
      <c r="D8" s="2"/>
    </row>
    <row r="9" spans="1:4" x14ac:dyDescent="0.3">
      <c r="A9" s="35" t="s">
        <v>11</v>
      </c>
      <c r="B9" s="7" t="s">
        <v>5</v>
      </c>
      <c r="C9" s="21">
        <v>143215068</v>
      </c>
      <c r="D9" s="2" t="s">
        <v>21</v>
      </c>
    </row>
    <row r="10" spans="1:4" x14ac:dyDescent="0.3">
      <c r="A10" s="36"/>
      <c r="B10" s="2" t="s">
        <v>13</v>
      </c>
      <c r="C10" s="21">
        <v>50039148</v>
      </c>
      <c r="D10" s="2"/>
    </row>
    <row r="11" spans="1:4" x14ac:dyDescent="0.3">
      <c r="A11" s="36"/>
      <c r="B11" s="2" t="s">
        <v>14</v>
      </c>
      <c r="C11" s="21">
        <v>2936281</v>
      </c>
      <c r="D11" s="2"/>
    </row>
    <row r="12" spans="1:4" x14ac:dyDescent="0.3">
      <c r="A12" s="36"/>
      <c r="B12" s="2" t="s">
        <v>15</v>
      </c>
      <c r="C12" s="21">
        <v>13614495</v>
      </c>
      <c r="D12" s="2" t="s">
        <v>24</v>
      </c>
    </row>
    <row r="13" spans="1:4" x14ac:dyDescent="0.3">
      <c r="A13" s="37"/>
      <c r="B13" s="4" t="s">
        <v>10</v>
      </c>
      <c r="C13" s="5">
        <f>SUM(C9:C12)</f>
        <v>209804992</v>
      </c>
      <c r="D13" s="2"/>
    </row>
    <row r="14" spans="1:4" x14ac:dyDescent="0.3">
      <c r="A14" s="40" t="s">
        <v>40</v>
      </c>
      <c r="B14" s="7" t="s">
        <v>5</v>
      </c>
      <c r="C14" s="21">
        <v>29428303</v>
      </c>
      <c r="D14" s="2" t="s">
        <v>21</v>
      </c>
    </row>
    <row r="15" spans="1:4" x14ac:dyDescent="0.3">
      <c r="A15" s="36"/>
      <c r="B15" s="2" t="s">
        <v>41</v>
      </c>
      <c r="C15" s="21">
        <v>46987030</v>
      </c>
      <c r="D15" s="2" t="s">
        <v>42</v>
      </c>
    </row>
    <row r="16" spans="1:4" x14ac:dyDescent="0.3">
      <c r="A16" s="37"/>
      <c r="B16" s="4" t="s">
        <v>10</v>
      </c>
      <c r="C16" s="5">
        <f>SUM(C14:C15)</f>
        <v>76415333</v>
      </c>
      <c r="D16" s="2"/>
    </row>
    <row r="17" spans="1:4" x14ac:dyDescent="0.3">
      <c r="A17" s="38" t="s">
        <v>22</v>
      </c>
      <c r="B17" s="39"/>
      <c r="C17" s="5">
        <f>C8+C13+C16</f>
        <v>694752201</v>
      </c>
      <c r="D17" s="2"/>
    </row>
    <row r="18" spans="1:4" x14ac:dyDescent="0.3">
      <c r="A18" s="35" t="s">
        <v>16</v>
      </c>
      <c r="B18" s="2" t="s">
        <v>31</v>
      </c>
      <c r="C18" s="21">
        <v>28753315</v>
      </c>
      <c r="D18" s="2"/>
    </row>
    <row r="19" spans="1:4" x14ac:dyDescent="0.3">
      <c r="A19" s="36"/>
      <c r="B19" s="2" t="s">
        <v>66</v>
      </c>
      <c r="C19" s="21">
        <v>39871745</v>
      </c>
      <c r="D19" s="2"/>
    </row>
    <row r="20" spans="1:4" x14ac:dyDescent="0.3">
      <c r="A20" s="36"/>
      <c r="B20" s="2" t="s">
        <v>67</v>
      </c>
      <c r="C20" s="21">
        <v>40121672</v>
      </c>
      <c r="D20" s="2"/>
    </row>
    <row r="21" spans="1:4" x14ac:dyDescent="0.3">
      <c r="A21" s="37"/>
      <c r="B21" s="4" t="s">
        <v>10</v>
      </c>
      <c r="C21" s="5">
        <f>SUM(C18:C20)</f>
        <v>108746732</v>
      </c>
      <c r="D21" s="2" t="s">
        <v>62</v>
      </c>
    </row>
  </sheetData>
  <mergeCells count="6">
    <mergeCell ref="A18:A21"/>
    <mergeCell ref="A1:D1"/>
    <mergeCell ref="A3:A8"/>
    <mergeCell ref="A9:A13"/>
    <mergeCell ref="A14:A16"/>
    <mergeCell ref="A17:B17"/>
  </mergeCells>
  <phoneticPr fontId="2" type="noConversion"/>
  <pageMargins left="0.7" right="0.7" top="0.75" bottom="0.75" header="0.3" footer="0.3"/>
  <pageSetup paperSize="9" scale="66" orientation="portrait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3F1B0-28B0-409B-B6F5-B37570AFF53C}">
  <dimension ref="A1:D21"/>
  <sheetViews>
    <sheetView view="pageBreakPreview" zoomScale="115" zoomScaleNormal="100" zoomScaleSheetLayoutView="115" workbookViewId="0">
      <selection activeCell="I3" sqref="I3"/>
    </sheetView>
  </sheetViews>
  <sheetFormatPr defaultRowHeight="16.5" x14ac:dyDescent="0.3"/>
  <cols>
    <col min="1" max="1" width="16.5" bestFit="1" customWidth="1"/>
    <col min="2" max="2" width="19" bestFit="1" customWidth="1"/>
    <col min="3" max="3" width="19.875" style="1" customWidth="1"/>
    <col min="4" max="4" width="65.25" customWidth="1"/>
  </cols>
  <sheetData>
    <row r="1" spans="1:4" ht="29.65" customHeight="1" x14ac:dyDescent="0.3">
      <c r="A1" s="34" t="s">
        <v>71</v>
      </c>
      <c r="B1" s="34"/>
      <c r="C1" s="34"/>
      <c r="D1" s="34"/>
    </row>
    <row r="2" spans="1:4" x14ac:dyDescent="0.3">
      <c r="A2" s="2"/>
      <c r="B2" s="2" t="s">
        <v>4</v>
      </c>
      <c r="C2" s="3" t="s">
        <v>3</v>
      </c>
      <c r="D2" s="2" t="s">
        <v>37</v>
      </c>
    </row>
    <row r="3" spans="1:4" x14ac:dyDescent="0.3">
      <c r="A3" s="40" t="s">
        <v>39</v>
      </c>
      <c r="B3" s="7" t="s">
        <v>5</v>
      </c>
      <c r="C3" s="22">
        <v>438953146</v>
      </c>
      <c r="D3" s="2"/>
    </row>
    <row r="4" spans="1:4" x14ac:dyDescent="0.3">
      <c r="A4" s="36"/>
      <c r="B4" s="2" t="s">
        <v>1</v>
      </c>
      <c r="C4" s="21">
        <v>78175495</v>
      </c>
      <c r="D4" s="2" t="s">
        <v>72</v>
      </c>
    </row>
    <row r="5" spans="1:4" x14ac:dyDescent="0.3">
      <c r="A5" s="36"/>
      <c r="B5" s="2" t="s">
        <v>6</v>
      </c>
      <c r="C5" s="22">
        <v>983209</v>
      </c>
      <c r="D5" s="2" t="s">
        <v>65</v>
      </c>
    </row>
    <row r="6" spans="1:4" x14ac:dyDescent="0.3">
      <c r="A6" s="36"/>
      <c r="B6" s="2" t="s">
        <v>7</v>
      </c>
      <c r="C6" s="22">
        <v>3581069</v>
      </c>
      <c r="D6" s="2" t="s">
        <v>36</v>
      </c>
    </row>
    <row r="7" spans="1:4" x14ac:dyDescent="0.3">
      <c r="A7" s="36"/>
      <c r="B7" s="2" t="s">
        <v>8</v>
      </c>
      <c r="C7" s="22">
        <v>23682100</v>
      </c>
      <c r="D7" s="2" t="s">
        <v>9</v>
      </c>
    </row>
    <row r="8" spans="1:4" x14ac:dyDescent="0.3">
      <c r="A8" s="37"/>
      <c r="B8" s="4" t="s">
        <v>10</v>
      </c>
      <c r="C8" s="5">
        <f>SUM(C3:C7)</f>
        <v>545375019</v>
      </c>
      <c r="D8" s="2"/>
    </row>
    <row r="9" spans="1:4" x14ac:dyDescent="0.3">
      <c r="A9" s="35" t="s">
        <v>11</v>
      </c>
      <c r="B9" s="7" t="s">
        <v>5</v>
      </c>
      <c r="C9" s="21">
        <v>217265799</v>
      </c>
      <c r="D9" s="2" t="s">
        <v>21</v>
      </c>
    </row>
    <row r="10" spans="1:4" x14ac:dyDescent="0.3">
      <c r="A10" s="36"/>
      <c r="B10" s="2" t="s">
        <v>13</v>
      </c>
      <c r="C10" s="21">
        <v>85772849</v>
      </c>
      <c r="D10" s="2"/>
    </row>
    <row r="11" spans="1:4" x14ac:dyDescent="0.3">
      <c r="A11" s="36"/>
      <c r="B11" s="2" t="s">
        <v>14</v>
      </c>
      <c r="C11" s="21">
        <v>4023138</v>
      </c>
      <c r="D11" s="2"/>
    </row>
    <row r="12" spans="1:4" x14ac:dyDescent="0.3">
      <c r="A12" s="36"/>
      <c r="B12" s="2" t="s">
        <v>15</v>
      </c>
      <c r="C12" s="21">
        <v>21113390</v>
      </c>
      <c r="D12" s="2" t="s">
        <v>24</v>
      </c>
    </row>
    <row r="13" spans="1:4" x14ac:dyDescent="0.3">
      <c r="A13" s="37"/>
      <c r="B13" s="4" t="s">
        <v>10</v>
      </c>
      <c r="C13" s="5">
        <f>SUM(C9:C12)</f>
        <v>328175176</v>
      </c>
      <c r="D13" s="2"/>
    </row>
    <row r="14" spans="1:4" x14ac:dyDescent="0.3">
      <c r="A14" s="40" t="s">
        <v>40</v>
      </c>
      <c r="B14" s="7" t="s">
        <v>5</v>
      </c>
      <c r="C14" s="21">
        <v>39511733</v>
      </c>
      <c r="D14" s="2" t="s">
        <v>21</v>
      </c>
    </row>
    <row r="15" spans="1:4" x14ac:dyDescent="0.3">
      <c r="A15" s="36"/>
      <c r="B15" s="2" t="s">
        <v>41</v>
      </c>
      <c r="C15" s="21">
        <v>69363910</v>
      </c>
      <c r="D15" s="2" t="s">
        <v>42</v>
      </c>
    </row>
    <row r="16" spans="1:4" x14ac:dyDescent="0.3">
      <c r="A16" s="37"/>
      <c r="B16" s="4" t="s">
        <v>10</v>
      </c>
      <c r="C16" s="5">
        <f>SUM(C14:C15)</f>
        <v>108875643</v>
      </c>
      <c r="D16" s="2"/>
    </row>
    <row r="17" spans="1:4" x14ac:dyDescent="0.3">
      <c r="A17" s="38" t="s">
        <v>22</v>
      </c>
      <c r="B17" s="39"/>
      <c r="C17" s="5">
        <f>C8+C13+C16</f>
        <v>982425838</v>
      </c>
      <c r="D17" s="23">
        <f>C17/1.1</f>
        <v>893114398.18181813</v>
      </c>
    </row>
    <row r="18" spans="1:4" x14ac:dyDescent="0.3">
      <c r="A18" s="35" t="s">
        <v>16</v>
      </c>
      <c r="B18" s="2" t="s">
        <v>27</v>
      </c>
      <c r="C18" s="21">
        <v>56299873</v>
      </c>
      <c r="D18" s="2"/>
    </row>
    <row r="19" spans="1:4" x14ac:dyDescent="0.3">
      <c r="A19" s="36"/>
      <c r="B19" s="2" t="s">
        <v>28</v>
      </c>
      <c r="C19" s="21">
        <v>56664732</v>
      </c>
      <c r="D19" s="2"/>
    </row>
    <row r="20" spans="1:4" x14ac:dyDescent="0.3">
      <c r="A20" s="36"/>
      <c r="B20" s="2" t="s">
        <v>29</v>
      </c>
      <c r="C20" s="21">
        <v>61664245</v>
      </c>
      <c r="D20" s="2"/>
    </row>
    <row r="21" spans="1:4" x14ac:dyDescent="0.3">
      <c r="A21" s="37"/>
      <c r="B21" s="4" t="s">
        <v>10</v>
      </c>
      <c r="C21" s="5">
        <f>SUM(C18:C20)</f>
        <v>174628850</v>
      </c>
      <c r="D21" s="2" t="s">
        <v>62</v>
      </c>
    </row>
  </sheetData>
  <mergeCells count="6">
    <mergeCell ref="A18:A21"/>
    <mergeCell ref="A1:D1"/>
    <mergeCell ref="A3:A8"/>
    <mergeCell ref="A9:A13"/>
    <mergeCell ref="A14:A16"/>
    <mergeCell ref="A17:B17"/>
  </mergeCells>
  <phoneticPr fontId="2" type="noConversion"/>
  <pageMargins left="0.7" right="0.7" top="0.75" bottom="0.75" header="0.3" footer="0.3"/>
  <pageSetup paperSize="9" scale="66" orientation="portrait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89822-0768-4BA7-BE32-765B87A2F9CC}">
  <dimension ref="A1:D21"/>
  <sheetViews>
    <sheetView view="pageBreakPreview" zoomScale="115" zoomScaleNormal="100" zoomScaleSheetLayoutView="115" workbookViewId="0">
      <selection activeCell="C17" sqref="C17"/>
    </sheetView>
  </sheetViews>
  <sheetFormatPr defaultRowHeight="16.5" x14ac:dyDescent="0.3"/>
  <cols>
    <col min="1" max="1" width="16.5" bestFit="1" customWidth="1"/>
    <col min="2" max="2" width="19" bestFit="1" customWidth="1"/>
    <col min="3" max="3" width="19.875" style="1" customWidth="1"/>
    <col min="4" max="4" width="65.25" customWidth="1"/>
  </cols>
  <sheetData>
    <row r="1" spans="1:4" ht="29.65" customHeight="1" x14ac:dyDescent="0.3">
      <c r="A1" s="34" t="s">
        <v>73</v>
      </c>
      <c r="B1" s="34"/>
      <c r="C1" s="34"/>
      <c r="D1" s="34"/>
    </row>
    <row r="2" spans="1:4" x14ac:dyDescent="0.3">
      <c r="A2" s="2"/>
      <c r="B2" s="2" t="s">
        <v>4</v>
      </c>
      <c r="C2" s="3" t="s">
        <v>3</v>
      </c>
      <c r="D2" s="2" t="s">
        <v>37</v>
      </c>
    </row>
    <row r="3" spans="1:4" x14ac:dyDescent="0.3">
      <c r="A3" s="40" t="s">
        <v>39</v>
      </c>
      <c r="B3" s="7" t="s">
        <v>5</v>
      </c>
      <c r="C3" s="22">
        <v>497386711</v>
      </c>
      <c r="D3" s="2"/>
    </row>
    <row r="4" spans="1:4" x14ac:dyDescent="0.3">
      <c r="A4" s="36"/>
      <c r="B4" s="2" t="s">
        <v>1</v>
      </c>
      <c r="C4" s="21">
        <v>94356370</v>
      </c>
      <c r="D4" s="2" t="s">
        <v>74</v>
      </c>
    </row>
    <row r="5" spans="1:4" x14ac:dyDescent="0.3">
      <c r="A5" s="36"/>
      <c r="B5" s="2" t="s">
        <v>6</v>
      </c>
      <c r="C5" s="22">
        <v>1140236</v>
      </c>
      <c r="D5" s="2" t="s">
        <v>65</v>
      </c>
    </row>
    <row r="6" spans="1:4" x14ac:dyDescent="0.3">
      <c r="A6" s="36"/>
      <c r="B6" s="2" t="s">
        <v>7</v>
      </c>
      <c r="C6" s="22">
        <v>3100712</v>
      </c>
      <c r="D6" s="2" t="s">
        <v>36</v>
      </c>
    </row>
    <row r="7" spans="1:4" x14ac:dyDescent="0.3">
      <c r="A7" s="36"/>
      <c r="B7" s="2" t="s">
        <v>8</v>
      </c>
      <c r="C7" s="22">
        <v>28562529</v>
      </c>
      <c r="D7" s="2" t="s">
        <v>9</v>
      </c>
    </row>
    <row r="8" spans="1:4" x14ac:dyDescent="0.3">
      <c r="A8" s="37"/>
      <c r="B8" s="4" t="s">
        <v>10</v>
      </c>
      <c r="C8" s="5">
        <f>SUM(C3:C7)</f>
        <v>624546558</v>
      </c>
      <c r="D8" s="2"/>
    </row>
    <row r="9" spans="1:4" x14ac:dyDescent="0.3">
      <c r="A9" s="35" t="s">
        <v>11</v>
      </c>
      <c r="B9" s="7" t="s">
        <v>5</v>
      </c>
      <c r="C9" s="21">
        <v>202083967</v>
      </c>
      <c r="D9" s="2" t="s">
        <v>21</v>
      </c>
    </row>
    <row r="10" spans="1:4" x14ac:dyDescent="0.3">
      <c r="A10" s="36"/>
      <c r="B10" s="2" t="s">
        <v>13</v>
      </c>
      <c r="C10" s="21">
        <v>85046470</v>
      </c>
      <c r="D10" s="2"/>
    </row>
    <row r="11" spans="1:4" x14ac:dyDescent="0.3">
      <c r="A11" s="36"/>
      <c r="B11" s="2" t="s">
        <v>14</v>
      </c>
      <c r="C11" s="21">
        <v>4937121</v>
      </c>
      <c r="D11" s="2"/>
    </row>
    <row r="12" spans="1:4" x14ac:dyDescent="0.3">
      <c r="A12" s="36"/>
      <c r="B12" s="2" t="s">
        <v>15</v>
      </c>
      <c r="C12" s="21">
        <v>21493434</v>
      </c>
      <c r="D12" s="2" t="s">
        <v>24</v>
      </c>
    </row>
    <row r="13" spans="1:4" x14ac:dyDescent="0.3">
      <c r="A13" s="37"/>
      <c r="B13" s="4" t="s">
        <v>10</v>
      </c>
      <c r="C13" s="5">
        <f>SUM(C9:C12)</f>
        <v>313560992</v>
      </c>
      <c r="D13" s="2"/>
    </row>
    <row r="14" spans="1:4" x14ac:dyDescent="0.3">
      <c r="A14" s="40" t="s">
        <v>40</v>
      </c>
      <c r="B14" s="7" t="s">
        <v>5</v>
      </c>
      <c r="C14" s="21">
        <v>48776013</v>
      </c>
      <c r="D14" s="2" t="s">
        <v>21</v>
      </c>
    </row>
    <row r="15" spans="1:4" x14ac:dyDescent="0.3">
      <c r="A15" s="36"/>
      <c r="B15" s="2" t="s">
        <v>41</v>
      </c>
      <c r="C15" s="21">
        <v>87955689</v>
      </c>
      <c r="D15" s="2" t="s">
        <v>42</v>
      </c>
    </row>
    <row r="16" spans="1:4" x14ac:dyDescent="0.3">
      <c r="A16" s="37"/>
      <c r="B16" s="4" t="s">
        <v>10</v>
      </c>
      <c r="C16" s="5">
        <f>SUM(C14:C15)</f>
        <v>136731702</v>
      </c>
      <c r="D16" s="2"/>
    </row>
    <row r="17" spans="1:4" x14ac:dyDescent="0.3">
      <c r="A17" s="38" t="s">
        <v>22</v>
      </c>
      <c r="B17" s="39"/>
      <c r="C17" s="5">
        <f>C8+C13+C16</f>
        <v>1074839252</v>
      </c>
      <c r="D17" s="23"/>
    </row>
    <row r="18" spans="1:4" x14ac:dyDescent="0.3">
      <c r="A18" s="35" t="s">
        <v>16</v>
      </c>
      <c r="B18" s="2" t="s">
        <v>17</v>
      </c>
      <c r="C18" s="21">
        <v>66163399</v>
      </c>
      <c r="D18" s="2"/>
    </row>
    <row r="19" spans="1:4" x14ac:dyDescent="0.3">
      <c r="A19" s="36"/>
      <c r="B19" s="2" t="s">
        <v>18</v>
      </c>
      <c r="C19" s="21">
        <v>59687627</v>
      </c>
      <c r="D19" s="2"/>
    </row>
    <row r="20" spans="1:4" x14ac:dyDescent="0.3">
      <c r="A20" s="36"/>
      <c r="B20" s="2" t="s">
        <v>19</v>
      </c>
      <c r="C20" s="21">
        <v>66402038</v>
      </c>
      <c r="D20" s="2"/>
    </row>
    <row r="21" spans="1:4" x14ac:dyDescent="0.3">
      <c r="A21" s="37"/>
      <c r="B21" s="4" t="s">
        <v>10</v>
      </c>
      <c r="C21" s="5">
        <f>SUM(C18:C20)</f>
        <v>192253064</v>
      </c>
      <c r="D21" s="2" t="s">
        <v>62</v>
      </c>
    </row>
  </sheetData>
  <mergeCells count="6">
    <mergeCell ref="A18:A21"/>
    <mergeCell ref="A1:D1"/>
    <mergeCell ref="A3:A8"/>
    <mergeCell ref="A9:A13"/>
    <mergeCell ref="A14:A16"/>
    <mergeCell ref="A17:B17"/>
  </mergeCells>
  <phoneticPr fontId="2" type="noConversion"/>
  <pageMargins left="0.7" right="0.7" top="0.75" bottom="0.75" header="0.3" footer="0.3"/>
  <pageSetup paperSize="9" scale="66" orientation="portrait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0C407-D096-4C44-87D5-1EBD13A9ED8D}">
  <dimension ref="A1:D21"/>
  <sheetViews>
    <sheetView view="pageBreakPreview" zoomScale="115" zoomScaleNormal="100" zoomScaleSheetLayoutView="115" workbookViewId="0">
      <selection activeCell="D3" sqref="D3"/>
    </sheetView>
  </sheetViews>
  <sheetFormatPr defaultRowHeight="16.5" x14ac:dyDescent="0.3"/>
  <cols>
    <col min="1" max="1" width="16.5" bestFit="1" customWidth="1"/>
    <col min="2" max="2" width="19" bestFit="1" customWidth="1"/>
    <col min="3" max="3" width="19.875" style="1" customWidth="1"/>
    <col min="4" max="4" width="65.25" customWidth="1"/>
  </cols>
  <sheetData>
    <row r="1" spans="1:4" ht="29.65" customHeight="1" x14ac:dyDescent="0.3">
      <c r="A1" s="34" t="s">
        <v>75</v>
      </c>
      <c r="B1" s="34"/>
      <c r="C1" s="34"/>
      <c r="D1" s="34"/>
    </row>
    <row r="2" spans="1:4" x14ac:dyDescent="0.3">
      <c r="A2" s="2"/>
      <c r="B2" s="2" t="s">
        <v>4</v>
      </c>
      <c r="C2" s="3" t="s">
        <v>3</v>
      </c>
      <c r="D2" s="2" t="s">
        <v>37</v>
      </c>
    </row>
    <row r="3" spans="1:4" x14ac:dyDescent="0.3">
      <c r="A3" s="40" t="s">
        <v>39</v>
      </c>
      <c r="B3" s="7" t="s">
        <v>5</v>
      </c>
      <c r="C3" s="22">
        <v>508414925</v>
      </c>
      <c r="D3" s="2"/>
    </row>
    <row r="4" spans="1:4" x14ac:dyDescent="0.3">
      <c r="A4" s="36"/>
      <c r="B4" s="2" t="s">
        <v>1</v>
      </c>
      <c r="C4" s="21">
        <v>79686428</v>
      </c>
      <c r="D4" s="2" t="s">
        <v>79</v>
      </c>
    </row>
    <row r="5" spans="1:4" x14ac:dyDescent="0.3">
      <c r="A5" s="36"/>
      <c r="B5" s="2" t="s">
        <v>6</v>
      </c>
      <c r="C5" s="22">
        <v>1549880</v>
      </c>
      <c r="D5" s="2" t="s">
        <v>65</v>
      </c>
    </row>
    <row r="6" spans="1:4" x14ac:dyDescent="0.3">
      <c r="A6" s="36"/>
      <c r="B6" s="2" t="s">
        <v>7</v>
      </c>
      <c r="C6" s="22">
        <v>2730943</v>
      </c>
      <c r="D6" s="2" t="s">
        <v>36</v>
      </c>
    </row>
    <row r="7" spans="1:4" x14ac:dyDescent="0.3">
      <c r="A7" s="36"/>
      <c r="B7" s="2" t="s">
        <v>8</v>
      </c>
      <c r="C7" s="22">
        <v>24928237</v>
      </c>
      <c r="D7" s="2" t="s">
        <v>9</v>
      </c>
    </row>
    <row r="8" spans="1:4" x14ac:dyDescent="0.3">
      <c r="A8" s="37"/>
      <c r="B8" s="4" t="s">
        <v>10</v>
      </c>
      <c r="C8" s="21">
        <f>SUM(C3:C7)</f>
        <v>617310413</v>
      </c>
      <c r="D8" s="2"/>
    </row>
    <row r="9" spans="1:4" x14ac:dyDescent="0.3">
      <c r="A9" s="35" t="s">
        <v>11</v>
      </c>
      <c r="B9" s="7" t="s">
        <v>5</v>
      </c>
      <c r="C9" s="21">
        <v>131243010</v>
      </c>
      <c r="D9" s="2" t="s">
        <v>21</v>
      </c>
    </row>
    <row r="10" spans="1:4" x14ac:dyDescent="0.3">
      <c r="A10" s="36"/>
      <c r="B10" s="2" t="s">
        <v>13</v>
      </c>
      <c r="C10" s="21">
        <v>63475729</v>
      </c>
      <c r="D10" s="2"/>
    </row>
    <row r="11" spans="1:4" x14ac:dyDescent="0.3">
      <c r="A11" s="36"/>
      <c r="B11" s="2" t="s">
        <v>14</v>
      </c>
      <c r="C11" s="21">
        <v>3460955</v>
      </c>
      <c r="D11" s="2"/>
    </row>
    <row r="12" spans="1:4" x14ac:dyDescent="0.3">
      <c r="A12" s="36"/>
      <c r="B12" s="2" t="s">
        <v>15</v>
      </c>
      <c r="C12" s="21">
        <v>15048086</v>
      </c>
      <c r="D12" s="2" t="s">
        <v>24</v>
      </c>
    </row>
    <row r="13" spans="1:4" x14ac:dyDescent="0.3">
      <c r="A13" s="37"/>
      <c r="B13" s="4" t="s">
        <v>10</v>
      </c>
      <c r="C13" s="21">
        <f>SUM(C9:C12)</f>
        <v>213227780</v>
      </c>
      <c r="D13" s="2"/>
    </row>
    <row r="14" spans="1:4" x14ac:dyDescent="0.3">
      <c r="A14" s="40" t="s">
        <v>40</v>
      </c>
      <c r="B14" s="7" t="s">
        <v>5</v>
      </c>
      <c r="C14" s="21">
        <v>55238223</v>
      </c>
      <c r="D14" s="2" t="s">
        <v>21</v>
      </c>
    </row>
    <row r="15" spans="1:4" x14ac:dyDescent="0.3">
      <c r="A15" s="36"/>
      <c r="B15" s="2" t="s">
        <v>41</v>
      </c>
      <c r="C15" s="21">
        <v>99037393</v>
      </c>
      <c r="D15" s="2" t="s">
        <v>42</v>
      </c>
    </row>
    <row r="16" spans="1:4" x14ac:dyDescent="0.3">
      <c r="A16" s="37"/>
      <c r="B16" s="4" t="s">
        <v>10</v>
      </c>
      <c r="C16" s="21">
        <f>SUM(C14:C15)</f>
        <v>154275616</v>
      </c>
      <c r="D16" s="2"/>
    </row>
    <row r="17" spans="1:4" x14ac:dyDescent="0.3">
      <c r="A17" s="38" t="s">
        <v>22</v>
      </c>
      <c r="B17" s="39"/>
      <c r="C17" s="21">
        <f>C8+C13+C16</f>
        <v>984813809</v>
      </c>
      <c r="D17" s="23"/>
    </row>
    <row r="18" spans="1:4" x14ac:dyDescent="0.3">
      <c r="A18" s="35" t="s">
        <v>16</v>
      </c>
      <c r="B18" s="2" t="s">
        <v>46</v>
      </c>
      <c r="C18" s="21">
        <v>61846382</v>
      </c>
      <c r="D18" s="2"/>
    </row>
    <row r="19" spans="1:4" x14ac:dyDescent="0.3">
      <c r="A19" s="36"/>
      <c r="B19" s="2" t="s">
        <v>47</v>
      </c>
      <c r="C19" s="21">
        <v>54626501</v>
      </c>
      <c r="D19" s="2"/>
    </row>
    <row r="20" spans="1:4" x14ac:dyDescent="0.3">
      <c r="A20" s="36"/>
      <c r="B20" s="2" t="s">
        <v>48</v>
      </c>
      <c r="C20" s="21">
        <v>61526957</v>
      </c>
      <c r="D20" s="2"/>
    </row>
    <row r="21" spans="1:4" x14ac:dyDescent="0.3">
      <c r="A21" s="37"/>
      <c r="B21" s="4" t="s">
        <v>10</v>
      </c>
      <c r="C21" s="21">
        <f>SUM(C18:C20)</f>
        <v>177999840</v>
      </c>
      <c r="D21" s="2" t="s">
        <v>62</v>
      </c>
    </row>
  </sheetData>
  <mergeCells count="6">
    <mergeCell ref="A18:A21"/>
    <mergeCell ref="A1:D1"/>
    <mergeCell ref="A3:A8"/>
    <mergeCell ref="A9:A13"/>
    <mergeCell ref="A14:A16"/>
    <mergeCell ref="A17:B17"/>
  </mergeCells>
  <phoneticPr fontId="2" type="noConversion"/>
  <pageMargins left="0.7" right="0.7" top="0.75" bottom="0.75" header="0.3" footer="0.3"/>
  <pageSetup paperSize="9" scale="66" orientation="portrait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6DCA9-B63D-440E-A983-712490E2DF2C}">
  <dimension ref="A1:D26"/>
  <sheetViews>
    <sheetView view="pageBreakPreview" zoomScale="115" zoomScaleNormal="100" zoomScaleSheetLayoutView="115" workbookViewId="0">
      <selection activeCell="A28" sqref="A28"/>
    </sheetView>
  </sheetViews>
  <sheetFormatPr defaultRowHeight="16.5" x14ac:dyDescent="0.3"/>
  <cols>
    <col min="1" max="1" width="16.5" bestFit="1" customWidth="1"/>
    <col min="2" max="2" width="19" bestFit="1" customWidth="1"/>
    <col min="3" max="3" width="19.875" style="1" customWidth="1"/>
    <col min="4" max="4" width="65.25" customWidth="1"/>
  </cols>
  <sheetData>
    <row r="1" spans="1:4" ht="29.65" customHeight="1" x14ac:dyDescent="0.3">
      <c r="A1" s="34" t="s">
        <v>80</v>
      </c>
      <c r="B1" s="34"/>
      <c r="C1" s="34"/>
      <c r="D1" s="34"/>
    </row>
    <row r="2" spans="1:4" x14ac:dyDescent="0.3">
      <c r="A2" s="2"/>
      <c r="B2" s="2" t="s">
        <v>4</v>
      </c>
      <c r="C2" s="3" t="s">
        <v>3</v>
      </c>
      <c r="D2" s="2" t="s">
        <v>37</v>
      </c>
    </row>
    <row r="3" spans="1:4" x14ac:dyDescent="0.3">
      <c r="A3" s="40" t="s">
        <v>39</v>
      </c>
      <c r="B3" s="7" t="s">
        <v>5</v>
      </c>
      <c r="C3" s="22">
        <v>383044446</v>
      </c>
      <c r="D3" s="2"/>
    </row>
    <row r="4" spans="1:4" x14ac:dyDescent="0.3">
      <c r="A4" s="36"/>
      <c r="B4" s="2" t="s">
        <v>1</v>
      </c>
      <c r="C4" s="21">
        <v>53394170</v>
      </c>
      <c r="D4" s="2" t="s">
        <v>81</v>
      </c>
    </row>
    <row r="5" spans="1:4" x14ac:dyDescent="0.3">
      <c r="A5" s="36"/>
      <c r="B5" s="2" t="s">
        <v>6</v>
      </c>
      <c r="C5" s="22">
        <v>1021697</v>
      </c>
      <c r="D5" s="2" t="s">
        <v>65</v>
      </c>
    </row>
    <row r="6" spans="1:4" x14ac:dyDescent="0.3">
      <c r="A6" s="36"/>
      <c r="B6" s="2" t="s">
        <v>7</v>
      </c>
      <c r="C6" s="22">
        <v>1593191</v>
      </c>
      <c r="D6" s="2" t="s">
        <v>36</v>
      </c>
    </row>
    <row r="7" spans="1:4" x14ac:dyDescent="0.3">
      <c r="A7" s="36"/>
      <c r="B7" s="2" t="s">
        <v>8</v>
      </c>
      <c r="C7" s="22">
        <v>19943046</v>
      </c>
      <c r="D7" s="2" t="s">
        <v>9</v>
      </c>
    </row>
    <row r="8" spans="1:4" x14ac:dyDescent="0.3">
      <c r="A8" s="37"/>
      <c r="B8" s="4" t="s">
        <v>10</v>
      </c>
      <c r="C8" s="21">
        <f>SUM(C3:C7)</f>
        <v>458996550</v>
      </c>
      <c r="D8" s="2"/>
    </row>
    <row r="9" spans="1:4" x14ac:dyDescent="0.3">
      <c r="A9" s="35" t="s">
        <v>11</v>
      </c>
      <c r="B9" s="7" t="s">
        <v>5</v>
      </c>
      <c r="C9" s="21">
        <v>123890594</v>
      </c>
      <c r="D9" s="2" t="s">
        <v>21</v>
      </c>
    </row>
    <row r="10" spans="1:4" x14ac:dyDescent="0.3">
      <c r="A10" s="36"/>
      <c r="B10" s="2" t="s">
        <v>13</v>
      </c>
      <c r="C10" s="21">
        <v>67391081</v>
      </c>
      <c r="D10" s="2"/>
    </row>
    <row r="11" spans="1:4" x14ac:dyDescent="0.3">
      <c r="A11" s="36"/>
      <c r="B11" s="2" t="s">
        <v>14</v>
      </c>
      <c r="C11" s="21">
        <v>3512995</v>
      </c>
      <c r="D11" s="2"/>
    </row>
    <row r="12" spans="1:4" x14ac:dyDescent="0.3">
      <c r="A12" s="36"/>
      <c r="B12" s="2" t="s">
        <v>15</v>
      </c>
      <c r="C12" s="21">
        <v>15126906</v>
      </c>
      <c r="D12" s="2" t="s">
        <v>24</v>
      </c>
    </row>
    <row r="13" spans="1:4" x14ac:dyDescent="0.3">
      <c r="A13" s="37"/>
      <c r="B13" s="4" t="s">
        <v>10</v>
      </c>
      <c r="C13" s="21">
        <f>SUM(C9:C12)</f>
        <v>209921576</v>
      </c>
      <c r="D13" s="2"/>
    </row>
    <row r="14" spans="1:4" x14ac:dyDescent="0.3">
      <c r="A14" s="40" t="s">
        <v>40</v>
      </c>
      <c r="B14" s="7" t="s">
        <v>5</v>
      </c>
      <c r="C14" s="21">
        <v>47618794</v>
      </c>
      <c r="D14" s="2" t="s">
        <v>21</v>
      </c>
    </row>
    <row r="15" spans="1:4" x14ac:dyDescent="0.3">
      <c r="A15" s="36"/>
      <c r="B15" s="2" t="s">
        <v>41</v>
      </c>
      <c r="C15" s="21">
        <v>80177707</v>
      </c>
      <c r="D15" s="2" t="s">
        <v>42</v>
      </c>
    </row>
    <row r="16" spans="1:4" x14ac:dyDescent="0.3">
      <c r="A16" s="37"/>
      <c r="B16" s="4" t="s">
        <v>10</v>
      </c>
      <c r="C16" s="21">
        <f>SUM(C14:C15)</f>
        <v>127796501</v>
      </c>
      <c r="D16" s="2"/>
    </row>
    <row r="17" spans="1:4" x14ac:dyDescent="0.3">
      <c r="A17" s="41" t="s">
        <v>82</v>
      </c>
      <c r="B17" s="7" t="s">
        <v>5</v>
      </c>
      <c r="C17" s="21">
        <v>5065597</v>
      </c>
      <c r="D17" s="2"/>
    </row>
    <row r="18" spans="1:4" x14ac:dyDescent="0.3">
      <c r="A18" s="42"/>
      <c r="B18" s="2" t="s">
        <v>13</v>
      </c>
      <c r="C18" s="21">
        <v>2536039</v>
      </c>
      <c r="D18" s="2"/>
    </row>
    <row r="19" spans="1:4" x14ac:dyDescent="0.3">
      <c r="A19" s="42"/>
      <c r="B19" s="2" t="s">
        <v>14</v>
      </c>
      <c r="C19" s="21">
        <v>46100</v>
      </c>
      <c r="D19" s="2"/>
    </row>
    <row r="20" spans="1:4" x14ac:dyDescent="0.3">
      <c r="A20" s="42"/>
      <c r="B20" s="2" t="s">
        <v>15</v>
      </c>
      <c r="C20" s="21">
        <v>786734</v>
      </c>
      <c r="D20" s="2" t="s">
        <v>24</v>
      </c>
    </row>
    <row r="21" spans="1:4" x14ac:dyDescent="0.3">
      <c r="A21" s="43"/>
      <c r="B21" s="4" t="s">
        <v>10</v>
      </c>
      <c r="C21" s="21">
        <f>SUM(C17:C20)</f>
        <v>8434470</v>
      </c>
      <c r="D21" s="2"/>
    </row>
    <row r="22" spans="1:4" x14ac:dyDescent="0.3">
      <c r="A22" s="38" t="s">
        <v>22</v>
      </c>
      <c r="B22" s="39"/>
      <c r="C22" s="21">
        <f>C8+C13+C16+C21</f>
        <v>805149097</v>
      </c>
      <c r="D22" s="23"/>
    </row>
    <row r="23" spans="1:4" x14ac:dyDescent="0.3">
      <c r="A23" s="35" t="s">
        <v>16</v>
      </c>
      <c r="B23" s="2" t="s">
        <v>31</v>
      </c>
      <c r="C23" s="21">
        <v>3433416</v>
      </c>
      <c r="D23" s="2"/>
    </row>
    <row r="24" spans="1:4" x14ac:dyDescent="0.3">
      <c r="A24" s="36"/>
      <c r="B24" s="2" t="s">
        <v>66</v>
      </c>
      <c r="C24" s="21">
        <v>1813262</v>
      </c>
      <c r="D24" s="2"/>
    </row>
    <row r="25" spans="1:4" x14ac:dyDescent="0.3">
      <c r="A25" s="36"/>
      <c r="B25" s="2" t="s">
        <v>67</v>
      </c>
      <c r="C25" s="21">
        <v>2723752</v>
      </c>
      <c r="D25" s="2"/>
    </row>
    <row r="26" spans="1:4" x14ac:dyDescent="0.3">
      <c r="A26" s="37"/>
      <c r="B26" s="4" t="s">
        <v>10</v>
      </c>
      <c r="C26" s="21">
        <f>SUM(C23:C25)</f>
        <v>7970430</v>
      </c>
      <c r="D26" s="2" t="s">
        <v>62</v>
      </c>
    </row>
  </sheetData>
  <mergeCells count="7">
    <mergeCell ref="A23:A26"/>
    <mergeCell ref="A1:D1"/>
    <mergeCell ref="A3:A8"/>
    <mergeCell ref="A9:A13"/>
    <mergeCell ref="A14:A16"/>
    <mergeCell ref="A17:A21"/>
    <mergeCell ref="A22:B22"/>
  </mergeCells>
  <phoneticPr fontId="2" type="noConversion"/>
  <pageMargins left="0.7" right="0.7" top="0.75" bottom="0.75" header="0.3" footer="0.3"/>
  <pageSetup paperSize="9" scale="66" orientation="portrait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565E9-142A-4F91-A82F-9BB5BA837CBF}">
  <dimension ref="A1:D28"/>
  <sheetViews>
    <sheetView view="pageBreakPreview" zoomScale="115" zoomScaleNormal="100" zoomScaleSheetLayoutView="115" workbookViewId="0">
      <selection activeCell="D8" sqref="D8"/>
    </sheetView>
  </sheetViews>
  <sheetFormatPr defaultRowHeight="16.5" x14ac:dyDescent="0.3"/>
  <cols>
    <col min="1" max="1" width="17.875" bestFit="1" customWidth="1"/>
    <col min="2" max="2" width="19" bestFit="1" customWidth="1"/>
    <col min="3" max="3" width="19.875" style="1" customWidth="1"/>
    <col min="4" max="4" width="65.25" customWidth="1"/>
  </cols>
  <sheetData>
    <row r="1" spans="1:4" ht="29.65" customHeight="1" x14ac:dyDescent="0.3">
      <c r="A1" s="34" t="s">
        <v>88</v>
      </c>
      <c r="B1" s="34"/>
      <c r="C1" s="34"/>
      <c r="D1" s="34"/>
    </row>
    <row r="2" spans="1:4" x14ac:dyDescent="0.3">
      <c r="A2" s="2"/>
      <c r="B2" s="2" t="s">
        <v>4</v>
      </c>
      <c r="C2" s="3" t="s">
        <v>3</v>
      </c>
      <c r="D2" s="2" t="s">
        <v>37</v>
      </c>
    </row>
    <row r="3" spans="1:4" x14ac:dyDescent="0.3">
      <c r="A3" s="40" t="s">
        <v>39</v>
      </c>
      <c r="B3" s="7" t="s">
        <v>5</v>
      </c>
      <c r="C3" s="22">
        <v>434538451</v>
      </c>
      <c r="D3" s="2"/>
    </row>
    <row r="4" spans="1:4" x14ac:dyDescent="0.3">
      <c r="A4" s="36"/>
      <c r="B4" s="2" t="s">
        <v>1</v>
      </c>
      <c r="C4" s="21">
        <v>51963522</v>
      </c>
      <c r="D4" s="2" t="s">
        <v>89</v>
      </c>
    </row>
    <row r="5" spans="1:4" x14ac:dyDescent="0.3">
      <c r="A5" s="36"/>
      <c r="B5" s="2" t="s">
        <v>6</v>
      </c>
      <c r="C5" s="22">
        <v>1066158</v>
      </c>
      <c r="D5" s="2" t="s">
        <v>65</v>
      </c>
    </row>
    <row r="6" spans="1:4" x14ac:dyDescent="0.3">
      <c r="A6" s="36"/>
      <c r="B6" s="2" t="s">
        <v>7</v>
      </c>
      <c r="C6" s="22">
        <v>2150682</v>
      </c>
      <c r="D6" s="2" t="s">
        <v>36</v>
      </c>
    </row>
    <row r="7" spans="1:4" x14ac:dyDescent="0.3">
      <c r="A7" s="36"/>
      <c r="B7" s="2" t="s">
        <v>8</v>
      </c>
      <c r="C7" s="22">
        <v>22125729</v>
      </c>
      <c r="D7" s="2" t="s">
        <v>9</v>
      </c>
    </row>
    <row r="8" spans="1:4" x14ac:dyDescent="0.3">
      <c r="A8" s="37"/>
      <c r="B8" s="4" t="s">
        <v>10</v>
      </c>
      <c r="C8" s="21">
        <f>SUM(C3:C7)</f>
        <v>511844542</v>
      </c>
      <c r="D8" s="2"/>
    </row>
    <row r="9" spans="1:4" x14ac:dyDescent="0.3">
      <c r="A9" s="35" t="s">
        <v>11</v>
      </c>
      <c r="B9" s="7" t="s">
        <v>5</v>
      </c>
      <c r="C9" s="21">
        <v>110438453</v>
      </c>
      <c r="D9" s="2" t="s">
        <v>21</v>
      </c>
    </row>
    <row r="10" spans="1:4" x14ac:dyDescent="0.3">
      <c r="A10" s="36"/>
      <c r="B10" s="2" t="s">
        <v>13</v>
      </c>
      <c r="C10" s="21">
        <v>55765104</v>
      </c>
      <c r="D10" s="2"/>
    </row>
    <row r="11" spans="1:4" x14ac:dyDescent="0.3">
      <c r="A11" s="36"/>
      <c r="B11" s="2" t="s">
        <v>14</v>
      </c>
      <c r="C11" s="21">
        <v>3492084</v>
      </c>
      <c r="D11" s="2"/>
    </row>
    <row r="12" spans="1:4" x14ac:dyDescent="0.3">
      <c r="A12" s="36"/>
      <c r="B12" s="2" t="s">
        <v>15</v>
      </c>
      <c r="C12" s="21">
        <v>11729720</v>
      </c>
      <c r="D12" s="2" t="s">
        <v>24</v>
      </c>
    </row>
    <row r="13" spans="1:4" x14ac:dyDescent="0.3">
      <c r="A13" s="37"/>
      <c r="B13" s="4" t="s">
        <v>10</v>
      </c>
      <c r="C13" s="21">
        <f>SUM(C9:C12)</f>
        <v>181425361</v>
      </c>
      <c r="D13" s="2"/>
    </row>
    <row r="14" spans="1:4" x14ac:dyDescent="0.3">
      <c r="A14" s="40" t="s">
        <v>40</v>
      </c>
      <c r="B14" s="7" t="s">
        <v>5</v>
      </c>
      <c r="C14" s="21">
        <v>58606880</v>
      </c>
      <c r="D14" s="2" t="s">
        <v>21</v>
      </c>
    </row>
    <row r="15" spans="1:4" x14ac:dyDescent="0.3">
      <c r="A15" s="36"/>
      <c r="B15" s="2" t="s">
        <v>41</v>
      </c>
      <c r="C15" s="21">
        <v>94229917</v>
      </c>
      <c r="D15" s="2" t="s">
        <v>42</v>
      </c>
    </row>
    <row r="16" spans="1:4" x14ac:dyDescent="0.3">
      <c r="A16" s="37"/>
      <c r="B16" s="4" t="s">
        <v>10</v>
      </c>
      <c r="C16" s="21">
        <f>SUM(C14:C15)</f>
        <v>152836797</v>
      </c>
      <c r="D16" s="2"/>
    </row>
    <row r="17" spans="1:4" x14ac:dyDescent="0.3">
      <c r="A17" s="41" t="s">
        <v>82</v>
      </c>
      <c r="B17" s="7" t="s">
        <v>5</v>
      </c>
      <c r="C17" s="21">
        <v>24989166</v>
      </c>
      <c r="D17" s="2"/>
    </row>
    <row r="18" spans="1:4" x14ac:dyDescent="0.3">
      <c r="A18" s="42"/>
      <c r="B18" s="2" t="s">
        <v>13</v>
      </c>
      <c r="C18" s="21">
        <v>11034311</v>
      </c>
      <c r="D18" s="2"/>
    </row>
    <row r="19" spans="1:4" x14ac:dyDescent="0.3">
      <c r="A19" s="42"/>
      <c r="B19" s="2" t="s">
        <v>14</v>
      </c>
      <c r="C19" s="21">
        <v>1038950</v>
      </c>
      <c r="D19" s="2"/>
    </row>
    <row r="20" spans="1:4" x14ac:dyDescent="0.3">
      <c r="A20" s="42"/>
      <c r="B20" s="2" t="s">
        <v>15</v>
      </c>
      <c r="C20" s="21">
        <v>3871333</v>
      </c>
      <c r="D20" s="2" t="s">
        <v>24</v>
      </c>
    </row>
    <row r="21" spans="1:4" x14ac:dyDescent="0.3">
      <c r="A21" s="43"/>
      <c r="B21" s="4" t="s">
        <v>10</v>
      </c>
      <c r="C21" s="21">
        <f>SUM(C17:C20)</f>
        <v>40933760</v>
      </c>
      <c r="D21" s="2"/>
    </row>
    <row r="22" spans="1:4" x14ac:dyDescent="0.3">
      <c r="A22" s="44" t="s">
        <v>90</v>
      </c>
      <c r="B22" s="2" t="s">
        <v>5</v>
      </c>
      <c r="C22" s="21">
        <v>701100</v>
      </c>
      <c r="D22" s="2"/>
    </row>
    <row r="23" spans="1:4" x14ac:dyDescent="0.3">
      <c r="A23" s="45"/>
      <c r="B23" s="4" t="s">
        <v>10</v>
      </c>
      <c r="C23" s="21">
        <f>SUM(C22)</f>
        <v>701100</v>
      </c>
      <c r="D23" s="2"/>
    </row>
    <row r="24" spans="1:4" x14ac:dyDescent="0.3">
      <c r="A24" s="38" t="s">
        <v>22</v>
      </c>
      <c r="B24" s="39"/>
      <c r="C24" s="21">
        <f>C8+C13+C16+C21+C23</f>
        <v>887741560</v>
      </c>
      <c r="D24" s="23"/>
    </row>
    <row r="25" spans="1:4" x14ac:dyDescent="0.3">
      <c r="A25" s="35" t="s">
        <v>16</v>
      </c>
      <c r="B25" s="2" t="s">
        <v>27</v>
      </c>
      <c r="C25" s="21">
        <v>67389275</v>
      </c>
      <c r="D25" s="2"/>
    </row>
    <row r="26" spans="1:4" x14ac:dyDescent="0.3">
      <c r="A26" s="36"/>
      <c r="B26" s="2" t="s">
        <v>28</v>
      </c>
      <c r="C26" s="21">
        <v>65805623</v>
      </c>
      <c r="D26" s="2"/>
    </row>
    <row r="27" spans="1:4" x14ac:dyDescent="0.3">
      <c r="A27" s="36"/>
      <c r="B27" s="2" t="s">
        <v>29</v>
      </c>
      <c r="C27" s="21">
        <v>69952901</v>
      </c>
      <c r="D27" s="2"/>
    </row>
    <row r="28" spans="1:4" x14ac:dyDescent="0.3">
      <c r="A28" s="37"/>
      <c r="B28" s="4" t="s">
        <v>10</v>
      </c>
      <c r="C28" s="21">
        <f>SUM(C25:C27)</f>
        <v>203147799</v>
      </c>
      <c r="D28" s="2" t="s">
        <v>62</v>
      </c>
    </row>
  </sheetData>
  <mergeCells count="8">
    <mergeCell ref="A24:B24"/>
    <mergeCell ref="A25:A28"/>
    <mergeCell ref="A1:D1"/>
    <mergeCell ref="A3:A8"/>
    <mergeCell ref="A9:A13"/>
    <mergeCell ref="A14:A16"/>
    <mergeCell ref="A17:A21"/>
    <mergeCell ref="A22:A23"/>
  </mergeCells>
  <phoneticPr fontId="2" type="noConversion"/>
  <pageMargins left="0.7" right="0.7" top="0.75" bottom="0.75" header="0.3" footer="0.3"/>
  <pageSetup paperSize="9" scale="66" orientation="portrait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96674-C72C-4ADD-9076-481C2F11A400}">
  <dimension ref="A1:G36"/>
  <sheetViews>
    <sheetView view="pageBreakPreview" topLeftCell="A7" zoomScale="115" zoomScaleNormal="100" zoomScaleSheetLayoutView="115" workbookViewId="0">
      <selection activeCell="D32" sqref="D32"/>
    </sheetView>
  </sheetViews>
  <sheetFormatPr defaultRowHeight="16.5" x14ac:dyDescent="0.3"/>
  <cols>
    <col min="2" max="2" width="17.875" bestFit="1" customWidth="1"/>
    <col min="3" max="3" width="19" bestFit="1" customWidth="1"/>
    <col min="4" max="4" width="19.875" style="1" customWidth="1"/>
    <col min="5" max="5" width="65.25" customWidth="1"/>
  </cols>
  <sheetData>
    <row r="1" spans="1:7" ht="29.65" customHeight="1" x14ac:dyDescent="0.3">
      <c r="B1" s="34" t="s">
        <v>91</v>
      </c>
      <c r="C1" s="34"/>
      <c r="D1" s="34"/>
      <c r="E1" s="34"/>
    </row>
    <row r="2" spans="1:7" x14ac:dyDescent="0.3">
      <c r="A2" s="2"/>
      <c r="B2" s="2"/>
      <c r="C2" s="2" t="s">
        <v>4</v>
      </c>
      <c r="D2" s="3" t="s">
        <v>3</v>
      </c>
      <c r="E2" s="2" t="s">
        <v>37</v>
      </c>
      <c r="G2" s="22"/>
    </row>
    <row r="3" spans="1:7" ht="16.5" customHeight="1" x14ac:dyDescent="0.3">
      <c r="A3" s="45" t="s">
        <v>92</v>
      </c>
      <c r="B3" s="29" t="s">
        <v>1</v>
      </c>
      <c r="C3" s="4" t="s">
        <v>1</v>
      </c>
      <c r="D3" s="5">
        <v>52625509</v>
      </c>
      <c r="E3" s="2" t="s">
        <v>93</v>
      </c>
    </row>
    <row r="4" spans="1:7" x14ac:dyDescent="0.3">
      <c r="A4" s="45"/>
      <c r="B4" s="45" t="s">
        <v>94</v>
      </c>
      <c r="C4" s="2" t="s">
        <v>5</v>
      </c>
      <c r="D4" s="22">
        <v>438242613</v>
      </c>
    </row>
    <row r="5" spans="1:7" x14ac:dyDescent="0.3">
      <c r="A5" s="45"/>
      <c r="B5" s="45"/>
      <c r="C5" s="2" t="s">
        <v>6</v>
      </c>
      <c r="D5" s="22">
        <v>976912</v>
      </c>
      <c r="E5" s="2" t="s">
        <v>65</v>
      </c>
    </row>
    <row r="6" spans="1:7" x14ac:dyDescent="0.3">
      <c r="A6" s="45"/>
      <c r="B6" s="45"/>
      <c r="C6" s="2" t="s">
        <v>7</v>
      </c>
      <c r="D6" s="22">
        <v>1524164</v>
      </c>
      <c r="E6" s="2" t="s">
        <v>36</v>
      </c>
    </row>
    <row r="7" spans="1:7" x14ac:dyDescent="0.3">
      <c r="A7" s="45"/>
      <c r="B7" s="45"/>
      <c r="C7" s="2" t="s">
        <v>8</v>
      </c>
      <c r="D7" s="22">
        <v>22888409</v>
      </c>
      <c r="E7" s="2" t="s">
        <v>9</v>
      </c>
    </row>
    <row r="8" spans="1:7" x14ac:dyDescent="0.3">
      <c r="A8" s="45"/>
      <c r="B8" s="45"/>
      <c r="C8" s="4" t="s">
        <v>10</v>
      </c>
      <c r="D8" s="5">
        <f>SUM(D4:D7)</f>
        <v>463632098</v>
      </c>
      <c r="E8" s="2"/>
    </row>
    <row r="9" spans="1:7" x14ac:dyDescent="0.3">
      <c r="A9" s="45"/>
      <c r="B9" s="35" t="s">
        <v>11</v>
      </c>
      <c r="C9" s="7" t="s">
        <v>5</v>
      </c>
      <c r="D9" s="21">
        <v>89310703</v>
      </c>
      <c r="E9" s="2" t="s">
        <v>21</v>
      </c>
    </row>
    <row r="10" spans="1:7" x14ac:dyDescent="0.3">
      <c r="A10" s="45"/>
      <c r="B10" s="36"/>
      <c r="C10" s="2" t="s">
        <v>13</v>
      </c>
      <c r="D10" s="21">
        <v>47525823</v>
      </c>
      <c r="E10" s="2"/>
    </row>
    <row r="11" spans="1:7" x14ac:dyDescent="0.3">
      <c r="A11" s="45"/>
      <c r="B11" s="36"/>
      <c r="C11" s="2" t="s">
        <v>14</v>
      </c>
      <c r="D11" s="21">
        <v>3067919</v>
      </c>
      <c r="E11" s="2"/>
    </row>
    <row r="12" spans="1:7" x14ac:dyDescent="0.3">
      <c r="A12" s="45"/>
      <c r="B12" s="36"/>
      <c r="C12" s="2" t="s">
        <v>15</v>
      </c>
      <c r="D12" s="21">
        <v>10074028</v>
      </c>
      <c r="E12" s="2" t="s">
        <v>24</v>
      </c>
    </row>
    <row r="13" spans="1:7" x14ac:dyDescent="0.3">
      <c r="A13" s="45"/>
      <c r="B13" s="37"/>
      <c r="C13" s="4" t="s">
        <v>10</v>
      </c>
      <c r="D13" s="5">
        <f>SUM(D9:D12)</f>
        <v>149978473</v>
      </c>
      <c r="E13" s="2"/>
    </row>
    <row r="14" spans="1:7" x14ac:dyDescent="0.3">
      <c r="A14" s="45"/>
      <c r="B14" s="40" t="s">
        <v>40</v>
      </c>
      <c r="C14" s="7" t="s">
        <v>5</v>
      </c>
      <c r="D14" s="21">
        <v>78644844</v>
      </c>
      <c r="E14" s="2" t="s">
        <v>21</v>
      </c>
    </row>
    <row r="15" spans="1:7" x14ac:dyDescent="0.3">
      <c r="A15" s="45"/>
      <c r="B15" s="36"/>
      <c r="C15" s="2" t="s">
        <v>41</v>
      </c>
      <c r="D15" s="21">
        <v>120678800</v>
      </c>
      <c r="E15" s="2" t="s">
        <v>42</v>
      </c>
    </row>
    <row r="16" spans="1:7" x14ac:dyDescent="0.3">
      <c r="A16" s="45"/>
      <c r="B16" s="37"/>
      <c r="C16" s="4" t="s">
        <v>10</v>
      </c>
      <c r="D16" s="5">
        <f>SUM(D14:D15)</f>
        <v>199323644</v>
      </c>
      <c r="E16" s="2"/>
    </row>
    <row r="17" spans="1:5" x14ac:dyDescent="0.3">
      <c r="A17" s="45"/>
      <c r="B17" s="41" t="s">
        <v>82</v>
      </c>
      <c r="C17" s="7" t="s">
        <v>5</v>
      </c>
      <c r="D17" s="21">
        <v>20199598</v>
      </c>
      <c r="E17" s="2"/>
    </row>
    <row r="18" spans="1:5" x14ac:dyDescent="0.3">
      <c r="A18" s="45"/>
      <c r="B18" s="42"/>
      <c r="C18" s="2" t="s">
        <v>13</v>
      </c>
      <c r="D18" s="21">
        <v>9077176</v>
      </c>
      <c r="E18" s="2"/>
    </row>
    <row r="19" spans="1:5" x14ac:dyDescent="0.3">
      <c r="A19" s="45"/>
      <c r="B19" s="42"/>
      <c r="C19" s="2" t="s">
        <v>14</v>
      </c>
      <c r="D19" s="21">
        <v>922120</v>
      </c>
      <c r="E19" s="2"/>
    </row>
    <row r="20" spans="1:5" x14ac:dyDescent="0.3">
      <c r="A20" s="45"/>
      <c r="B20" s="42"/>
      <c r="C20" s="2" t="s">
        <v>15</v>
      </c>
      <c r="D20" s="21">
        <v>2856246</v>
      </c>
      <c r="E20" s="2" t="s">
        <v>24</v>
      </c>
    </row>
    <row r="21" spans="1:5" x14ac:dyDescent="0.3">
      <c r="A21" s="45"/>
      <c r="B21" s="43"/>
      <c r="C21" s="4" t="s">
        <v>10</v>
      </c>
      <c r="D21" s="5">
        <f>SUM(D17:D20)</f>
        <v>33055140</v>
      </c>
      <c r="E21" s="2"/>
    </row>
    <row r="22" spans="1:5" x14ac:dyDescent="0.3">
      <c r="A22" s="45"/>
      <c r="B22" s="44" t="s">
        <v>90</v>
      </c>
      <c r="C22" s="2" t="s">
        <v>5</v>
      </c>
      <c r="D22" s="21">
        <v>0</v>
      </c>
      <c r="E22" s="2"/>
    </row>
    <row r="23" spans="1:5" x14ac:dyDescent="0.3">
      <c r="A23" s="45"/>
      <c r="B23" s="45"/>
      <c r="C23" s="4" t="s">
        <v>10</v>
      </c>
      <c r="D23" s="5">
        <v>0</v>
      </c>
      <c r="E23" s="2"/>
    </row>
    <row r="24" spans="1:5" x14ac:dyDescent="0.3">
      <c r="A24" s="45" t="s">
        <v>95</v>
      </c>
      <c r="B24" s="40" t="s">
        <v>96</v>
      </c>
      <c r="C24" s="2" t="s">
        <v>5</v>
      </c>
      <c r="D24" s="21">
        <v>18302840</v>
      </c>
      <c r="E24" s="2"/>
    </row>
    <row r="25" spans="1:5" x14ac:dyDescent="0.3">
      <c r="A25" s="45"/>
      <c r="B25" s="46"/>
      <c r="C25" s="2" t="s">
        <v>97</v>
      </c>
      <c r="D25" s="21">
        <v>2620342</v>
      </c>
      <c r="E25" s="2"/>
    </row>
    <row r="26" spans="1:5" x14ac:dyDescent="0.3">
      <c r="A26" s="45"/>
      <c r="B26" s="47"/>
      <c r="C26" s="4" t="s">
        <v>10</v>
      </c>
      <c r="D26" s="5">
        <f>SUM(D24:D25)</f>
        <v>20923182</v>
      </c>
      <c r="E26" s="2"/>
    </row>
    <row r="27" spans="1:5" ht="16.5" customHeight="1" x14ac:dyDescent="0.3">
      <c r="A27" s="45"/>
      <c r="B27" s="40" t="s">
        <v>98</v>
      </c>
      <c r="C27" s="2" t="s">
        <v>5</v>
      </c>
      <c r="D27" s="21">
        <v>1300474</v>
      </c>
      <c r="E27" s="2"/>
    </row>
    <row r="28" spans="1:5" x14ac:dyDescent="0.3">
      <c r="A28" s="45"/>
      <c r="B28" s="46"/>
      <c r="C28" s="2" t="s">
        <v>99</v>
      </c>
      <c r="D28" s="21">
        <v>754916</v>
      </c>
      <c r="E28" s="2"/>
    </row>
    <row r="29" spans="1:5" x14ac:dyDescent="0.3">
      <c r="A29" s="45"/>
      <c r="B29" s="47"/>
      <c r="C29" s="4" t="s">
        <v>10</v>
      </c>
      <c r="D29" s="5">
        <f>SUM(D27:D28)</f>
        <v>2055390</v>
      </c>
      <c r="E29" s="2"/>
    </row>
    <row r="30" spans="1:5" ht="16.5" customHeight="1" x14ac:dyDescent="0.3">
      <c r="A30" s="45"/>
      <c r="B30" s="29" t="s">
        <v>100</v>
      </c>
      <c r="C30" s="4" t="s">
        <v>9</v>
      </c>
      <c r="D30" s="5">
        <v>918490</v>
      </c>
      <c r="E30" s="2"/>
    </row>
    <row r="31" spans="1:5" x14ac:dyDescent="0.3">
      <c r="A31" s="45"/>
      <c r="B31" s="2" t="s">
        <v>1</v>
      </c>
      <c r="C31" s="4" t="s">
        <v>1</v>
      </c>
      <c r="D31" s="5">
        <v>3281015</v>
      </c>
      <c r="E31" s="2" t="s">
        <v>101</v>
      </c>
    </row>
    <row r="32" spans="1:5" x14ac:dyDescent="0.3">
      <c r="A32" s="48" t="s">
        <v>22</v>
      </c>
      <c r="B32" s="49"/>
      <c r="C32" s="50"/>
      <c r="D32" s="30">
        <f>SUM(D3,D8,D13,D16,D21,D23,D26,D29,D30,D31)</f>
        <v>925792941</v>
      </c>
      <c r="E32" s="23"/>
    </row>
    <row r="33" spans="1:5" x14ac:dyDescent="0.3">
      <c r="A33" s="51" t="s">
        <v>16</v>
      </c>
      <c r="B33" s="52"/>
      <c r="C33" s="2" t="s">
        <v>17</v>
      </c>
      <c r="D33" s="21">
        <v>78814317</v>
      </c>
      <c r="E33" s="2"/>
    </row>
    <row r="34" spans="1:5" x14ac:dyDescent="0.3">
      <c r="A34" s="42"/>
      <c r="B34" s="53"/>
      <c r="C34" s="2" t="s">
        <v>18</v>
      </c>
      <c r="D34" s="21">
        <v>78607837</v>
      </c>
      <c r="E34" s="2"/>
    </row>
    <row r="35" spans="1:5" x14ac:dyDescent="0.3">
      <c r="A35" s="42"/>
      <c r="B35" s="53"/>
      <c r="C35" s="2" t="s">
        <v>19</v>
      </c>
      <c r="D35" s="21">
        <v>59523193</v>
      </c>
      <c r="E35" s="2"/>
    </row>
    <row r="36" spans="1:5" x14ac:dyDescent="0.3">
      <c r="A36" s="43"/>
      <c r="B36" s="54"/>
      <c r="C36" s="4" t="s">
        <v>10</v>
      </c>
      <c r="D36" s="21">
        <f>SUM(D33:D35)</f>
        <v>216945347</v>
      </c>
      <c r="E36" s="2" t="s">
        <v>102</v>
      </c>
    </row>
  </sheetData>
  <mergeCells count="12">
    <mergeCell ref="B1:E1"/>
    <mergeCell ref="A3:A23"/>
    <mergeCell ref="B4:B8"/>
    <mergeCell ref="B9:B13"/>
    <mergeCell ref="B14:B16"/>
    <mergeCell ref="B17:B21"/>
    <mergeCell ref="B22:B23"/>
    <mergeCell ref="A24:A31"/>
    <mergeCell ref="B24:B26"/>
    <mergeCell ref="B27:B29"/>
    <mergeCell ref="A32:C32"/>
    <mergeCell ref="A33:B36"/>
  </mergeCells>
  <phoneticPr fontId="2" type="noConversion"/>
  <pageMargins left="0.7" right="0.7" top="0.75" bottom="0.75" header="0.3" footer="0.3"/>
  <pageSetup paperSize="9" scale="61" orientation="portrait" verticalDpi="1200" r:id="rId1"/>
  <colBreaks count="1" manualBreakCount="1">
    <brk id="5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6707D-83A7-4B16-B815-5CC8A391E744}">
  <dimension ref="A1:G46"/>
  <sheetViews>
    <sheetView view="pageBreakPreview" topLeftCell="A7" zoomScale="115" zoomScaleNormal="100" zoomScaleSheetLayoutView="115" workbookViewId="0">
      <selection activeCell="E8" sqref="E8"/>
    </sheetView>
  </sheetViews>
  <sheetFormatPr defaultRowHeight="16.5" x14ac:dyDescent="0.3"/>
  <cols>
    <col min="1" max="1" width="20.125" customWidth="1"/>
    <col min="2" max="2" width="17.875" bestFit="1" customWidth="1"/>
    <col min="3" max="3" width="19" bestFit="1" customWidth="1"/>
    <col min="4" max="4" width="19.875" style="1" customWidth="1"/>
    <col min="5" max="5" width="65.25" customWidth="1"/>
    <col min="6" max="6" width="9.5" bestFit="1" customWidth="1"/>
  </cols>
  <sheetData>
    <row r="1" spans="1:7" ht="29.65" customHeight="1" x14ac:dyDescent="0.3">
      <c r="B1" s="34" t="s">
        <v>103</v>
      </c>
      <c r="C1" s="34"/>
      <c r="D1" s="34"/>
      <c r="E1" s="34"/>
    </row>
    <row r="2" spans="1:7" x14ac:dyDescent="0.3">
      <c r="A2" s="2"/>
      <c r="B2" s="2"/>
      <c r="C2" s="2" t="s">
        <v>4</v>
      </c>
      <c r="D2" s="3" t="s">
        <v>3</v>
      </c>
      <c r="E2" s="2" t="s">
        <v>37</v>
      </c>
      <c r="G2" s="22"/>
    </row>
    <row r="3" spans="1:7" ht="16.5" customHeight="1" x14ac:dyDescent="0.3">
      <c r="A3" s="45" t="s">
        <v>92</v>
      </c>
      <c r="B3" s="31" t="s">
        <v>1</v>
      </c>
      <c r="C3" s="4" t="s">
        <v>1</v>
      </c>
      <c r="D3" s="5">
        <v>52728488</v>
      </c>
      <c r="E3" s="2" t="s">
        <v>104</v>
      </c>
    </row>
    <row r="4" spans="1:7" x14ac:dyDescent="0.3">
      <c r="A4" s="45"/>
      <c r="B4" s="45" t="s">
        <v>94</v>
      </c>
      <c r="C4" s="2" t="s">
        <v>5</v>
      </c>
      <c r="D4" s="22">
        <v>79479066</v>
      </c>
    </row>
    <row r="5" spans="1:7" x14ac:dyDescent="0.3">
      <c r="A5" s="45"/>
      <c r="B5" s="45"/>
      <c r="C5" s="2" t="s">
        <v>6</v>
      </c>
      <c r="D5" s="22">
        <v>197980</v>
      </c>
      <c r="E5" s="2" t="s">
        <v>65</v>
      </c>
    </row>
    <row r="6" spans="1:7" x14ac:dyDescent="0.3">
      <c r="A6" s="45"/>
      <c r="B6" s="45"/>
      <c r="C6" s="2" t="s">
        <v>7</v>
      </c>
      <c r="D6" s="22">
        <v>268816</v>
      </c>
      <c r="E6" s="2" t="s">
        <v>36</v>
      </c>
    </row>
    <row r="7" spans="1:7" x14ac:dyDescent="0.3">
      <c r="A7" s="45"/>
      <c r="B7" s="45"/>
      <c r="C7" s="2" t="s">
        <v>8</v>
      </c>
      <c r="D7" s="22">
        <v>4786310</v>
      </c>
      <c r="E7" s="2" t="s">
        <v>9</v>
      </c>
    </row>
    <row r="8" spans="1:7" x14ac:dyDescent="0.3">
      <c r="A8" s="45"/>
      <c r="B8" s="45"/>
      <c r="C8" s="4" t="s">
        <v>10</v>
      </c>
      <c r="D8" s="5">
        <f>SUM(D4:D7)</f>
        <v>84732172</v>
      </c>
      <c r="E8" s="2"/>
    </row>
    <row r="9" spans="1:7" x14ac:dyDescent="0.3">
      <c r="A9" s="45"/>
      <c r="B9" s="35" t="s">
        <v>96</v>
      </c>
      <c r="C9" s="2" t="s">
        <v>105</v>
      </c>
      <c r="D9" s="21">
        <v>328711076</v>
      </c>
      <c r="E9" s="2"/>
    </row>
    <row r="10" spans="1:7" x14ac:dyDescent="0.3">
      <c r="A10" s="45"/>
      <c r="B10" s="36"/>
      <c r="C10" s="2" t="s">
        <v>106</v>
      </c>
      <c r="D10" s="21">
        <v>27703045</v>
      </c>
      <c r="E10" s="2" t="s">
        <v>107</v>
      </c>
    </row>
    <row r="11" spans="1:7" x14ac:dyDescent="0.3">
      <c r="A11" s="45"/>
      <c r="B11" s="36"/>
      <c r="C11" s="2" t="s">
        <v>108</v>
      </c>
      <c r="D11" s="21">
        <v>5423517</v>
      </c>
      <c r="E11" s="2" t="s">
        <v>109</v>
      </c>
    </row>
    <row r="12" spans="1:7" x14ac:dyDescent="0.3">
      <c r="A12" s="45"/>
      <c r="B12" s="37"/>
      <c r="C12" s="4" t="s">
        <v>10</v>
      </c>
      <c r="D12" s="5">
        <f>SUM(D9:D11)</f>
        <v>361837638</v>
      </c>
      <c r="E12" s="2"/>
    </row>
    <row r="13" spans="1:7" x14ac:dyDescent="0.3">
      <c r="A13" s="45"/>
      <c r="B13" s="35" t="s">
        <v>11</v>
      </c>
      <c r="C13" s="7" t="s">
        <v>5</v>
      </c>
      <c r="D13" s="21">
        <v>72666489</v>
      </c>
      <c r="E13" s="2" t="s">
        <v>21</v>
      </c>
    </row>
    <row r="14" spans="1:7" x14ac:dyDescent="0.3">
      <c r="A14" s="45"/>
      <c r="B14" s="36"/>
      <c r="C14" s="2" t="s">
        <v>13</v>
      </c>
      <c r="D14" s="21">
        <v>38947453</v>
      </c>
      <c r="E14" s="2"/>
    </row>
    <row r="15" spans="1:7" x14ac:dyDescent="0.3">
      <c r="A15" s="45"/>
      <c r="B15" s="36"/>
      <c r="C15" s="2" t="s">
        <v>14</v>
      </c>
      <c r="D15" s="21">
        <v>3036523</v>
      </c>
      <c r="E15" s="2"/>
    </row>
    <row r="16" spans="1:7" x14ac:dyDescent="0.3">
      <c r="A16" s="45"/>
      <c r="B16" s="36"/>
      <c r="C16" s="2" t="s">
        <v>15</v>
      </c>
      <c r="D16" s="21">
        <v>9975296</v>
      </c>
      <c r="E16" s="2" t="s">
        <v>24</v>
      </c>
    </row>
    <row r="17" spans="1:5" x14ac:dyDescent="0.3">
      <c r="A17" s="45"/>
      <c r="B17" s="37"/>
      <c r="C17" s="4" t="s">
        <v>10</v>
      </c>
      <c r="D17" s="5">
        <f>SUM(D13:D16)</f>
        <v>124625761</v>
      </c>
      <c r="E17" s="2"/>
    </row>
    <row r="18" spans="1:5" x14ac:dyDescent="0.3">
      <c r="A18" s="45"/>
      <c r="B18" s="40" t="s">
        <v>110</v>
      </c>
      <c r="C18" s="7" t="s">
        <v>5</v>
      </c>
      <c r="D18" s="21">
        <v>89438120</v>
      </c>
      <c r="E18" s="2" t="s">
        <v>21</v>
      </c>
    </row>
    <row r="19" spans="1:5" x14ac:dyDescent="0.3">
      <c r="A19" s="45"/>
      <c r="B19" s="36"/>
      <c r="C19" s="2" t="s">
        <v>41</v>
      </c>
      <c r="D19" s="21">
        <v>118547138</v>
      </c>
      <c r="E19" s="2" t="s">
        <v>42</v>
      </c>
    </row>
    <row r="20" spans="1:5" x14ac:dyDescent="0.3">
      <c r="A20" s="45"/>
      <c r="B20" s="37"/>
      <c r="C20" s="4" t="s">
        <v>10</v>
      </c>
      <c r="D20" s="5">
        <f>SUM(D18:D19)</f>
        <v>207985258</v>
      </c>
      <c r="E20" s="2"/>
    </row>
    <row r="21" spans="1:5" x14ac:dyDescent="0.3">
      <c r="A21" s="45"/>
      <c r="B21" s="41" t="s">
        <v>82</v>
      </c>
      <c r="C21" s="7" t="s">
        <v>5</v>
      </c>
      <c r="D21" s="9">
        <v>18408124</v>
      </c>
      <c r="E21" s="2"/>
    </row>
    <row r="22" spans="1:5" x14ac:dyDescent="0.3">
      <c r="A22" s="45"/>
      <c r="B22" s="42"/>
      <c r="C22" s="2" t="s">
        <v>13</v>
      </c>
      <c r="D22" s="9">
        <v>9926883</v>
      </c>
      <c r="E22" s="2"/>
    </row>
    <row r="23" spans="1:5" x14ac:dyDescent="0.3">
      <c r="A23" s="45"/>
      <c r="B23" s="42"/>
      <c r="C23" s="2" t="s">
        <v>14</v>
      </c>
      <c r="D23" s="9">
        <v>1251835</v>
      </c>
      <c r="E23" s="2"/>
    </row>
    <row r="24" spans="1:5" x14ac:dyDescent="0.3">
      <c r="A24" s="45"/>
      <c r="B24" s="42"/>
      <c r="C24" s="2" t="s">
        <v>15</v>
      </c>
      <c r="D24" s="9">
        <v>2656518</v>
      </c>
      <c r="E24" s="2" t="s">
        <v>24</v>
      </c>
    </row>
    <row r="25" spans="1:5" x14ac:dyDescent="0.3">
      <c r="A25" s="45"/>
      <c r="B25" s="43"/>
      <c r="C25" s="4" t="s">
        <v>10</v>
      </c>
      <c r="D25" s="5">
        <f>SUM(D21:D24)</f>
        <v>32243360</v>
      </c>
      <c r="E25" s="2"/>
    </row>
    <row r="26" spans="1:5" x14ac:dyDescent="0.3">
      <c r="A26" s="45"/>
      <c r="B26" s="44" t="s">
        <v>90</v>
      </c>
      <c r="C26" s="2" t="s">
        <v>5</v>
      </c>
      <c r="D26" s="9">
        <v>0</v>
      </c>
      <c r="E26" s="2"/>
    </row>
    <row r="27" spans="1:5" x14ac:dyDescent="0.3">
      <c r="A27" s="45"/>
      <c r="B27" s="45"/>
      <c r="C27" s="4" t="s">
        <v>10</v>
      </c>
      <c r="D27" s="5">
        <v>0</v>
      </c>
      <c r="E27" s="2"/>
    </row>
    <row r="28" spans="1:5" x14ac:dyDescent="0.3">
      <c r="A28" s="44" t="s">
        <v>111</v>
      </c>
      <c r="B28" s="40" t="s">
        <v>96</v>
      </c>
      <c r="C28" s="2" t="s">
        <v>5</v>
      </c>
      <c r="D28" s="21">
        <v>15732568</v>
      </c>
      <c r="E28" s="2"/>
    </row>
    <row r="29" spans="1:5" x14ac:dyDescent="0.3">
      <c r="A29" s="45"/>
      <c r="B29" s="46"/>
      <c r="C29" s="2" t="s">
        <v>97</v>
      </c>
      <c r="D29" s="21">
        <v>2347631</v>
      </c>
      <c r="E29" s="2" t="s">
        <v>112</v>
      </c>
    </row>
    <row r="30" spans="1:5" x14ac:dyDescent="0.3">
      <c r="A30" s="45"/>
      <c r="B30" s="46"/>
      <c r="C30" s="2" t="s">
        <v>108</v>
      </c>
      <c r="D30" s="21">
        <v>33300</v>
      </c>
      <c r="E30" s="2" t="s">
        <v>113</v>
      </c>
    </row>
    <row r="31" spans="1:5" x14ac:dyDescent="0.3">
      <c r="A31" s="45"/>
      <c r="B31" s="47"/>
      <c r="C31" s="4" t="s">
        <v>10</v>
      </c>
      <c r="D31" s="5">
        <f>SUM(D28:D30)</f>
        <v>18113499</v>
      </c>
      <c r="E31" s="2"/>
    </row>
    <row r="32" spans="1:5" x14ac:dyDescent="0.3">
      <c r="A32" s="45"/>
      <c r="B32" s="40" t="s">
        <v>11</v>
      </c>
      <c r="C32" s="7" t="s">
        <v>5</v>
      </c>
      <c r="D32" s="21">
        <v>6431487</v>
      </c>
      <c r="E32" s="2"/>
    </row>
    <row r="33" spans="1:5" x14ac:dyDescent="0.3">
      <c r="A33" s="45"/>
      <c r="B33" s="46"/>
      <c r="C33" s="2" t="s">
        <v>13</v>
      </c>
      <c r="D33" s="21">
        <v>2386327</v>
      </c>
      <c r="E33" s="2"/>
    </row>
    <row r="34" spans="1:5" x14ac:dyDescent="0.3">
      <c r="A34" s="45"/>
      <c r="B34" s="46"/>
      <c r="C34" s="2" t="s">
        <v>14</v>
      </c>
      <c r="D34" s="21">
        <v>195682</v>
      </c>
      <c r="E34" s="2"/>
    </row>
    <row r="35" spans="1:5" x14ac:dyDescent="0.3">
      <c r="A35" s="45"/>
      <c r="B35" s="46"/>
      <c r="C35" s="2" t="s">
        <v>15</v>
      </c>
      <c r="D35" s="21">
        <v>671216</v>
      </c>
      <c r="E35" s="2"/>
    </row>
    <row r="36" spans="1:5" x14ac:dyDescent="0.3">
      <c r="A36" s="45"/>
      <c r="B36" s="47"/>
      <c r="C36" s="4" t="s">
        <v>10</v>
      </c>
      <c r="D36" s="5">
        <f>SUM(D32:D35)</f>
        <v>9684712</v>
      </c>
      <c r="E36" s="2"/>
    </row>
    <row r="37" spans="1:5" ht="16.5" customHeight="1" x14ac:dyDescent="0.3">
      <c r="A37" s="45"/>
      <c r="B37" s="40" t="s">
        <v>98</v>
      </c>
      <c r="C37" s="2" t="s">
        <v>5</v>
      </c>
      <c r="D37" s="9">
        <v>730634</v>
      </c>
      <c r="E37" s="2"/>
    </row>
    <row r="38" spans="1:5" x14ac:dyDescent="0.3">
      <c r="A38" s="45"/>
      <c r="B38" s="46"/>
      <c r="C38" s="2" t="s">
        <v>99</v>
      </c>
      <c r="D38" s="9">
        <v>504879</v>
      </c>
      <c r="E38" s="2"/>
    </row>
    <row r="39" spans="1:5" x14ac:dyDescent="0.3">
      <c r="A39" s="45"/>
      <c r="B39" s="47"/>
      <c r="C39" s="4" t="s">
        <v>10</v>
      </c>
      <c r="D39" s="5">
        <f>SUM(D37:D38)</f>
        <v>1235513</v>
      </c>
      <c r="E39" s="2"/>
    </row>
    <row r="40" spans="1:5" ht="16.5" customHeight="1" x14ac:dyDescent="0.3">
      <c r="A40" s="45"/>
      <c r="B40" s="31" t="s">
        <v>100</v>
      </c>
      <c r="C40" s="4" t="s">
        <v>9</v>
      </c>
      <c r="D40" s="5">
        <v>1031755</v>
      </c>
      <c r="E40" s="2"/>
    </row>
    <row r="41" spans="1:5" x14ac:dyDescent="0.3">
      <c r="A41" s="45"/>
      <c r="B41" s="32" t="s">
        <v>1</v>
      </c>
      <c r="C41" s="4" t="s">
        <v>1</v>
      </c>
      <c r="D41" s="5">
        <v>3281015</v>
      </c>
      <c r="E41" s="2" t="s">
        <v>114</v>
      </c>
    </row>
    <row r="42" spans="1:5" x14ac:dyDescent="0.3">
      <c r="A42" s="48" t="s">
        <v>22</v>
      </c>
      <c r="B42" s="49"/>
      <c r="C42" s="50"/>
      <c r="D42" s="30">
        <f>SUM(D3,D8,D12,D17,D20,D25,D27,D31,D36,D39,D40,D41)</f>
        <v>897499171</v>
      </c>
      <c r="E42" s="23"/>
    </row>
    <row r="43" spans="1:5" x14ac:dyDescent="0.3">
      <c r="A43" s="51" t="s">
        <v>16</v>
      </c>
      <c r="B43" s="52"/>
      <c r="C43" s="2" t="s">
        <v>46</v>
      </c>
      <c r="D43" s="21">
        <v>67977238</v>
      </c>
      <c r="E43" s="2"/>
    </row>
    <row r="44" spans="1:5" x14ac:dyDescent="0.3">
      <c r="A44" s="42"/>
      <c r="B44" s="53"/>
      <c r="C44" s="2" t="s">
        <v>47</v>
      </c>
      <c r="D44" s="21">
        <v>60532093</v>
      </c>
      <c r="E44" s="2"/>
    </row>
    <row r="45" spans="1:5" x14ac:dyDescent="0.3">
      <c r="A45" s="42"/>
      <c r="B45" s="53"/>
      <c r="C45" s="2" t="s">
        <v>48</v>
      </c>
      <c r="D45" s="21">
        <v>89702333</v>
      </c>
      <c r="E45" s="2"/>
    </row>
    <row r="46" spans="1:5" x14ac:dyDescent="0.3">
      <c r="A46" s="43"/>
      <c r="B46" s="54"/>
      <c r="C46" s="4" t="s">
        <v>10</v>
      </c>
      <c r="D46" s="21">
        <f>SUM(D43:D45)</f>
        <v>218211664</v>
      </c>
      <c r="E46" s="2" t="s">
        <v>102</v>
      </c>
    </row>
  </sheetData>
  <mergeCells count="14">
    <mergeCell ref="A43:B46"/>
    <mergeCell ref="B1:E1"/>
    <mergeCell ref="A3:A27"/>
    <mergeCell ref="B4:B8"/>
    <mergeCell ref="B9:B12"/>
    <mergeCell ref="B13:B17"/>
    <mergeCell ref="B18:B20"/>
    <mergeCell ref="B21:B25"/>
    <mergeCell ref="B26:B27"/>
    <mergeCell ref="A28:A41"/>
    <mergeCell ref="B28:B31"/>
    <mergeCell ref="B32:B36"/>
    <mergeCell ref="B37:B39"/>
    <mergeCell ref="A42:C42"/>
  </mergeCells>
  <phoneticPr fontId="2" type="noConversion"/>
  <pageMargins left="0.7" right="0.7" top="0.75" bottom="0.75" header="0.3" footer="0.3"/>
  <pageSetup paperSize="9" scale="61" orientation="portrait" verticalDpi="1200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17</vt:i4>
      </vt:variant>
      <vt:variant>
        <vt:lpstr>이름 지정된 범위</vt:lpstr>
      </vt:variant>
      <vt:variant>
        <vt:i4>2</vt:i4>
      </vt:variant>
    </vt:vector>
  </HeadingPairs>
  <TitlesOfParts>
    <vt:vector size="19" baseType="lpstr">
      <vt:lpstr>성장그래프</vt:lpstr>
      <vt:lpstr>성장그래프 (카카오페이 비중)</vt:lpstr>
      <vt:lpstr>2018.04~06</vt:lpstr>
      <vt:lpstr>2018.07~09</vt:lpstr>
      <vt:lpstr>2018.10~12</vt:lpstr>
      <vt:lpstr>2019.01~03</vt:lpstr>
      <vt:lpstr>2019.04~06</vt:lpstr>
      <vt:lpstr>2019.07~09</vt:lpstr>
      <vt:lpstr>2019.10~12</vt:lpstr>
      <vt:lpstr>2020.01~03</vt:lpstr>
      <vt:lpstr>2020.04~06</vt:lpstr>
      <vt:lpstr>2020.07~09</vt:lpstr>
      <vt:lpstr>2020.10~12</vt:lpstr>
      <vt:lpstr>2021.01~03</vt:lpstr>
      <vt:lpstr>2021.04~06</vt:lpstr>
      <vt:lpstr>2021.07~09</vt:lpstr>
      <vt:lpstr>2021.10~12</vt:lpstr>
      <vt:lpstr>'2021.07~09'!Print_Area</vt:lpstr>
      <vt:lpstr>'2021.10~12'!Print_Area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junghong seo</dc:creator>
  <cp:lastModifiedBy>INC MUD SCONE</cp:lastModifiedBy>
  <cp:lastPrinted>2020-07-21T02:48:09Z</cp:lastPrinted>
  <dcterms:created xsi:type="dcterms:W3CDTF">2018-10-17T03:23:31Z</dcterms:created>
  <dcterms:modified xsi:type="dcterms:W3CDTF">2026-04-18T08:05:57Z</dcterms:modified>
</cp:coreProperties>
</file>