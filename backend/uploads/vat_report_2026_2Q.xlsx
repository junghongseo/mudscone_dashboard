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80" windowWidth="27015" windowHeight="14835" tabRatio="600" firstSheet="0" activeTab="0" autoFilterDateGrouping="1"/>
  </bookViews>
  <sheets>
    <sheet xmlns:r="http://schemas.openxmlformats.org/officeDocument/2006/relationships" name="2026년 2분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0_-;\-* #,##0.00_-;_-* &quot;-&quot;??_-;_-@_-"/>
  </numFmts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Malgun Gothic"/>
      <b val="1"/>
      <color rgb="000F172A"/>
      <sz val="15"/>
    </font>
    <font>
      <name val="Malgun Gothic"/>
      <b val="1"/>
      <color rgb="00FFFFFF"/>
      <sz val="11"/>
    </font>
    <font>
      <name val="Malgun Gothic"/>
      <color rgb="00334155"/>
      <sz val="10"/>
    </font>
    <font>
      <name val="Malgun Gothic"/>
      <color rgb="0094A3B8"/>
      <sz val="9"/>
    </font>
    <font>
      <name val="Malgun Gothic"/>
      <b val="1"/>
      <color rgb="001E293B"/>
      <sz val="10"/>
    </font>
    <font>
      <name val="Malgun Gothic"/>
      <b val="1"/>
      <color rgb="0010B981"/>
      <sz val="11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0" fontId="0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4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164" fontId="0" fillId="4" borderId="2" applyAlignment="1" pivotButton="0" quotePrefix="0" xfId="1">
      <alignment vertical="center"/>
    </xf>
    <xf numFmtId="164" fontId="0" fillId="2" borderId="2" applyAlignment="1" pivotButton="0" quotePrefix="0" xfId="1">
      <alignment vertical="center"/>
    </xf>
    <xf numFmtId="164" fontId="0" fillId="3" borderId="2" applyAlignment="1" pivotButton="0" quotePrefix="0" xfId="1">
      <alignment vertical="center"/>
    </xf>
    <xf numFmtId="164" fontId="0" fillId="0" borderId="2" applyAlignment="1" pivotButton="0" quotePrefix="0" xfId="1">
      <alignment vertical="center"/>
    </xf>
    <xf numFmtId="164" fontId="5" fillId="3" borderId="2" applyAlignment="1" pivotButton="0" quotePrefix="0" xfId="1">
      <alignment vertical="center"/>
    </xf>
    <xf numFmtId="0" fontId="5" fillId="0" borderId="2" applyAlignment="1" pivotButton="0" quotePrefix="0" xfId="2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0" fillId="0" borderId="1" pivotButton="0" quotePrefix="0" xfId="0"/>
    <xf numFmtId="164" fontId="0" fillId="0" borderId="2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0" fillId="3" borderId="2" applyAlignment="1" pivotButton="0" quotePrefix="0" xfId="1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164" fontId="5" fillId="3" borderId="2" applyAlignment="1" pivotButton="0" quotePrefix="0" xfId="1">
      <alignment vertical="center"/>
    </xf>
    <xf numFmtId="0" fontId="0" fillId="4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164" fontId="0" fillId="4" borderId="2" applyAlignment="1" pivotButton="0" quotePrefix="0" xfId="1">
      <alignment vertical="center"/>
    </xf>
    <xf numFmtId="165" fontId="0" fillId="0" borderId="2" applyAlignment="1" pivotButton="0" quotePrefix="0" xfId="0">
      <alignment vertical="center"/>
    </xf>
    <xf numFmtId="0" fontId="0" fillId="0" borderId="4" pivotButton="0" quotePrefix="0" xfId="0"/>
    <xf numFmtId="164" fontId="0" fillId="2" borderId="2" applyAlignment="1" pivotButton="0" quotePrefix="0" xfId="1">
      <alignment vertical="center"/>
    </xf>
    <xf numFmtId="0" fontId="8" fillId="0" borderId="0" applyAlignment="1" pivotButton="0" quotePrefix="0" xfId="0">
      <alignment horizontal="left" vertical="center"/>
    </xf>
    <xf numFmtId="0" fontId="9" fillId="5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3" fontId="10" fillId="0" borderId="16" applyAlignment="1" pivotButton="0" quotePrefix="0" xfId="0">
      <alignment horizontal="right" vertical="center"/>
    </xf>
    <xf numFmtId="0" fontId="10" fillId="0" borderId="16" applyAlignment="1" pivotButton="0" quotePrefix="0" xfId="0">
      <alignment horizontal="left" vertical="center"/>
    </xf>
    <xf numFmtId="3" fontId="11" fillId="0" borderId="16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/>
    </xf>
    <xf numFmtId="0" fontId="12" fillId="6" borderId="17" applyAlignment="1" pivotButton="0" quotePrefix="0" xfId="0">
      <alignment horizontal="center" vertical="center"/>
    </xf>
    <xf numFmtId="3" fontId="12" fillId="6" borderId="17" applyAlignment="1" pivotButton="0" quotePrefix="0" xfId="0">
      <alignment horizontal="right" vertical="center"/>
    </xf>
    <xf numFmtId="0" fontId="12" fillId="6" borderId="17" applyAlignment="1" pivotButton="0" quotePrefix="0" xfId="0">
      <alignment horizontal="left" vertical="center"/>
    </xf>
    <xf numFmtId="0" fontId="10" fillId="0" borderId="16" applyAlignment="1" pivotButton="0" quotePrefix="0" xfId="0">
      <alignment horizontal="right" vertical="center"/>
    </xf>
    <xf numFmtId="0" fontId="9" fillId="7" borderId="18" applyAlignment="1" pivotButton="0" quotePrefix="0" xfId="0">
      <alignment horizontal="center" vertical="center"/>
    </xf>
    <xf numFmtId="3" fontId="13" fillId="7" borderId="18" applyAlignment="1" pivotButton="0" quotePrefix="0" xfId="0">
      <alignment horizontal="right" vertical="center"/>
    </xf>
    <xf numFmtId="0" fontId="9" fillId="7" borderId="18" applyAlignment="1" pivotButton="0" quotePrefix="0" xfId="0">
      <alignment horizontal="left" vertical="center"/>
    </xf>
    <xf numFmtId="0" fontId="12" fillId="8" borderId="16" applyAlignment="1" pivotButton="0" quotePrefix="0" xfId="0">
      <alignment horizontal="center" vertical="center"/>
    </xf>
    <xf numFmtId="3" fontId="12" fillId="8" borderId="16" applyAlignment="1" pivotButton="0" quotePrefix="0" xfId="0">
      <alignment horizontal="right" vertical="center"/>
    </xf>
    <xf numFmtId="0" fontId="12" fillId="8" borderId="16" applyAlignment="1" pivotButton="0" quotePrefix="0" xfId="0">
      <alignment horizontal="left" vertical="center"/>
    </xf>
  </cellXfs>
  <cellStyles count="3">
    <cellStyle name="표준" xfId="0" builtinId="0"/>
    <cellStyle name="쉼표 [0]" xfId="1" builtinId="6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tabSelected="1" view="normal" zoomScale="115" zoomScaleNormal="100" zoomScaleSheetLayoutView="115" workbookViewId="0">
      <selection activeCell="C10" sqref="C10"/>
    </sheetView>
  </sheetViews>
  <sheetFormatPr baseColWidth="8" defaultRowHeight="16.5"/>
  <cols>
    <col width="31" bestFit="1" customWidth="1" style="35" min="1" max="1"/>
    <col width="41" bestFit="1" customWidth="1" style="35" min="2" max="2"/>
    <col width="29" bestFit="1" customWidth="1" style="35" min="3" max="3"/>
    <col width="18" customWidth="1" style="36" min="4" max="4"/>
    <col width="32" customWidth="1" style="35" min="5" max="5"/>
    <col width="15" bestFit="1" customWidth="1" style="35" min="6" max="7"/>
    <col width="15" customWidth="1" style="35" min="7" max="7"/>
    <col width="15" customWidth="1" style="35" min="8" max="8"/>
    <col width="15" bestFit="1" customWidth="1" style="35" min="9" max="9"/>
    <col width="12.125" bestFit="1" customWidth="1" style="35" min="10" max="10"/>
  </cols>
  <sheetData>
    <row r="1" ht="35" customHeight="1" s="35">
      <c r="B1" s="54" t="inlineStr">
        <is>
          <t>2026년 2분기 판매금액 결제수단 별 정리</t>
        </is>
      </c>
    </row>
    <row r="2" ht="26" customHeight="1" s="35">
      <c r="A2" s="55" t="inlineStr">
        <is>
          <t>브랜드</t>
        </is>
      </c>
      <c r="B2" s="55" t="inlineStr">
        <is>
          <t>PG / 스토어</t>
        </is>
      </c>
      <c r="C2" s="55" t="inlineStr">
        <is>
          <t>구분</t>
        </is>
      </c>
      <c r="D2" s="55" t="inlineStr">
        <is>
          <t>금액</t>
        </is>
      </c>
      <c r="E2" s="55" t="inlineStr">
        <is>
          <t>메모</t>
        </is>
      </c>
    </row>
    <row r="3" ht="20" customHeight="1" s="35">
      <c r="A3" s="56" t="inlineStr">
        <is>
          <t>머드스콘</t>
        </is>
      </c>
      <c r="B3" s="56" t="inlineStr">
        <is>
          <t>무통장입금</t>
        </is>
      </c>
      <c r="C3" s="56" t="inlineStr">
        <is>
          <t>무통장입금</t>
        </is>
      </c>
      <c r="D3" s="57" t="n">
        <v>-73222</v>
      </c>
      <c r="E3" s="58" t="inlineStr"/>
      <c r="F3" s="59" t="n">
        <v>11136368</v>
      </c>
      <c r="G3" s="59" t="n">
        <v>660720</v>
      </c>
      <c r="H3" s="59" t="n">
        <v>10548870</v>
      </c>
      <c r="I3" s="60" t="n"/>
    </row>
    <row r="4" ht="20" customHeight="1" s="35">
      <c r="A4" s="56" t="n"/>
      <c r="B4" s="56" t="inlineStr">
        <is>
          <t>토스페이먼츠</t>
        </is>
      </c>
      <c r="C4" s="56" t="inlineStr">
        <is>
          <t>신용·체크카드</t>
        </is>
      </c>
      <c r="D4" s="57" t="n">
        <v>234749839</v>
      </c>
      <c r="E4" s="58" t="inlineStr"/>
      <c r="F4" s="60" t="n"/>
      <c r="G4" s="60" t="n"/>
      <c r="H4" s="60" t="n"/>
      <c r="I4" s="60" t="n"/>
    </row>
    <row r="5" ht="20" customHeight="1" s="35">
      <c r="A5" s="56" t="n"/>
      <c r="B5" s="56" t="n"/>
      <c r="C5" s="56" t="inlineStr">
        <is>
          <t>현금영수증 자동발행</t>
        </is>
      </c>
      <c r="D5" s="57" t="n">
        <v>49768341</v>
      </c>
      <c r="E5" s="58" t="inlineStr"/>
      <c r="F5" s="60" t="n"/>
      <c r="G5" s="60" t="n"/>
      <c r="H5" s="60" t="n"/>
      <c r="I5" s="60" t="n"/>
    </row>
    <row r="6" ht="20" customHeight="1" s="35">
      <c r="A6" s="56" t="n"/>
      <c r="B6" s="56" t="n"/>
      <c r="C6" s="56" t="inlineStr">
        <is>
          <t>현금영수증 별도발급</t>
        </is>
      </c>
      <c r="D6" s="57" t="n">
        <v>10548870</v>
      </c>
      <c r="E6" s="58" t="inlineStr"/>
      <c r="F6" s="60" t="n"/>
      <c r="G6" s="60" t="n"/>
      <c r="H6" s="60" t="n"/>
      <c r="I6" s="60" t="n"/>
    </row>
    <row r="7" ht="20" customHeight="1" s="35">
      <c r="A7" s="56" t="n"/>
      <c r="B7" s="56" t="n"/>
      <c r="C7" s="56" t="inlineStr">
        <is>
          <t>기타(정규영수증 외 매출분)</t>
        </is>
      </c>
      <c r="D7" s="57" t="n">
        <v>1112869</v>
      </c>
      <c r="E7" s="58" t="inlineStr"/>
      <c r="F7" s="60" t="n"/>
      <c r="G7" s="60" t="n"/>
      <c r="H7" s="60" t="n"/>
      <c r="I7" s="60" t="n"/>
    </row>
    <row r="8" ht="20" customHeight="1" s="35">
      <c r="A8" s="61" t="n"/>
      <c r="B8" s="61" t="n"/>
      <c r="C8" s="61" t="inlineStr">
        <is>
          <t>합계</t>
        </is>
      </c>
      <c r="D8" s="62">
        <f>SUM(D4:D7)</f>
        <v/>
      </c>
      <c r="E8" s="63" t="inlineStr"/>
      <c r="F8" s="60" t="n"/>
      <c r="G8" s="60" t="n"/>
      <c r="H8" s="60" t="n"/>
      <c r="I8" s="60" t="n"/>
    </row>
    <row r="9" ht="20" customHeight="1" s="35">
      <c r="A9" s="56" t="n"/>
      <c r="B9" s="56" t="inlineStr">
        <is>
          <t>네이버페이(결제형)</t>
        </is>
      </c>
      <c r="C9" s="56" t="inlineStr">
        <is>
          <t>신용카드 매출전표</t>
        </is>
      </c>
      <c r="D9" s="57" t="n">
        <v>135571617</v>
      </c>
      <c r="E9" s="58" t="inlineStr"/>
      <c r="F9" s="60" t="n"/>
      <c r="G9" s="60" t="n"/>
      <c r="H9" s="60" t="n"/>
      <c r="I9" s="60" t="n"/>
    </row>
    <row r="10" ht="20" customHeight="1" s="35">
      <c r="A10" s="56" t="n"/>
      <c r="B10" s="56" t="n"/>
      <c r="C10" s="56" t="inlineStr">
        <is>
          <t>현금영수증(소득공제)</t>
        </is>
      </c>
      <c r="D10" s="57" t="n">
        <v>93377854</v>
      </c>
      <c r="E10" s="58" t="inlineStr"/>
      <c r="F10" s="60" t="n"/>
      <c r="G10" s="60" t="n"/>
      <c r="H10" s="60" t="n"/>
      <c r="I10" s="60" t="n"/>
    </row>
    <row r="11" ht="20" customHeight="1" s="35">
      <c r="A11" s="56" t="n"/>
      <c r="B11" s="56" t="n"/>
      <c r="C11" s="56" t="inlineStr">
        <is>
          <t>현금영수증(지출증빙)</t>
        </is>
      </c>
      <c r="D11" s="57" t="n">
        <v>3177831</v>
      </c>
      <c r="E11" s="58" t="inlineStr"/>
      <c r="F11" s="60" t="n"/>
      <c r="G11" s="60" t="n"/>
      <c r="H11" s="60" t="n"/>
      <c r="I11" s="60" t="n"/>
    </row>
    <row r="12" ht="20" customHeight="1" s="35">
      <c r="A12" s="56" t="n"/>
      <c r="B12" s="56" t="n"/>
      <c r="C12" s="56" t="inlineStr">
        <is>
          <t>현금영수증(발행 제외)</t>
        </is>
      </c>
      <c r="D12" s="57" t="n">
        <v>0</v>
      </c>
      <c r="E12" s="58" t="inlineStr"/>
      <c r="F12" s="60" t="n"/>
      <c r="G12" s="60" t="n"/>
      <c r="H12" s="60" t="n"/>
      <c r="I12" s="60" t="n"/>
    </row>
    <row r="13" ht="20" customHeight="1" s="35">
      <c r="A13" s="56" t="n"/>
      <c r="B13" s="56" t="n"/>
      <c r="C13" s="56" t="inlineStr">
        <is>
          <t>기타</t>
        </is>
      </c>
      <c r="D13" s="57" t="n">
        <v>12325922</v>
      </c>
      <c r="E13" s="58" t="inlineStr"/>
      <c r="F13" s="60" t="n"/>
      <c r="G13" s="60" t="n"/>
      <c r="H13" s="60" t="n"/>
      <c r="I13" s="60" t="n"/>
    </row>
    <row r="14" ht="20" customHeight="1" s="35">
      <c r="A14" s="61" t="n"/>
      <c r="B14" s="61" t="n"/>
      <c r="C14" s="61" t="inlineStr">
        <is>
          <t>합계</t>
        </is>
      </c>
      <c r="D14" s="62">
        <f>SUM(D9:D13)</f>
        <v/>
      </c>
      <c r="E14" s="63" t="inlineStr"/>
      <c r="F14" s="60" t="n"/>
      <c r="G14" s="60" t="n"/>
      <c r="H14" s="60" t="n"/>
      <c r="I14" s="60" t="n"/>
    </row>
    <row r="15" ht="20" customHeight="1" s="35">
      <c r="A15" s="56" t="n"/>
      <c r="B15" s="56" t="inlineStr">
        <is>
          <t>네이버페이(주문형)</t>
        </is>
      </c>
      <c r="C15" s="56" t="inlineStr">
        <is>
          <t>신용카드 매출전표</t>
        </is>
      </c>
      <c r="D15" s="57" t="n">
        <v>44877884</v>
      </c>
      <c r="E15" s="58" t="inlineStr"/>
      <c r="F15" s="60" t="n"/>
      <c r="G15" s="60" t="n"/>
      <c r="H15" s="60" t="n"/>
      <c r="I15" s="60" t="n"/>
    </row>
    <row r="16" ht="20" customHeight="1" s="35">
      <c r="A16" s="56" t="n"/>
      <c r="B16" s="56" t="n"/>
      <c r="C16" s="56" t="inlineStr">
        <is>
          <t>현금영수증(소득공제)</t>
        </is>
      </c>
      <c r="D16" s="57" t="n">
        <v>30098498</v>
      </c>
      <c r="E16" s="58" t="inlineStr"/>
      <c r="F16" s="60" t="n"/>
      <c r="G16" s="60" t="n"/>
      <c r="H16" s="60" t="n"/>
      <c r="I16" s="60" t="n"/>
    </row>
    <row r="17" ht="20" customHeight="1" s="35">
      <c r="A17" s="56" t="n"/>
      <c r="B17" s="56" t="n"/>
      <c r="C17" s="56" t="inlineStr">
        <is>
          <t>현금영수증(지출증빙)</t>
        </is>
      </c>
      <c r="D17" s="57" t="n">
        <v>1897362</v>
      </c>
      <c r="E17" s="58" t="inlineStr"/>
      <c r="F17" s="60" t="n"/>
      <c r="G17" s="60" t="n"/>
      <c r="H17" s="60" t="n"/>
      <c r="I17" s="60" t="n"/>
    </row>
    <row r="18" ht="20" customHeight="1" s="35">
      <c r="A18" s="56" t="n"/>
      <c r="B18" s="56" t="n"/>
      <c r="C18" s="56" t="inlineStr">
        <is>
          <t>현금영수증(발행 제외)</t>
        </is>
      </c>
      <c r="D18" s="57" t="n">
        <v>0</v>
      </c>
      <c r="E18" s="58" t="inlineStr"/>
      <c r="F18" s="60" t="n"/>
      <c r="G18" s="60" t="n"/>
      <c r="H18" s="60" t="n"/>
      <c r="I18" s="60" t="n"/>
    </row>
    <row r="19" ht="20" customHeight="1" s="35">
      <c r="A19" s="56" t="n"/>
      <c r="B19" s="56" t="n"/>
      <c r="C19" s="56" t="inlineStr">
        <is>
          <t>기타</t>
        </is>
      </c>
      <c r="D19" s="57" t="n">
        <v>5927856</v>
      </c>
      <c r="E19" s="58" t="inlineStr"/>
      <c r="F19" s="60" t="n"/>
      <c r="G19" s="60" t="n"/>
      <c r="H19" s="60" t="n"/>
      <c r="I19" s="60" t="n"/>
    </row>
    <row r="20" ht="20" customHeight="1" s="35">
      <c r="A20" s="61" t="n"/>
      <c r="B20" s="61" t="n"/>
      <c r="C20" s="61" t="inlineStr">
        <is>
          <t>합계</t>
        </is>
      </c>
      <c r="D20" s="62">
        <f>SUM(D15:D19)</f>
        <v/>
      </c>
      <c r="E20" s="63" t="inlineStr"/>
      <c r="F20" s="60" t="n"/>
      <c r="G20" s="60" t="n"/>
      <c r="H20" s="60" t="n"/>
      <c r="I20" s="60" t="n"/>
    </row>
    <row r="21" ht="20" customHeight="1" s="35">
      <c r="A21" s="56" t="n"/>
      <c r="B21" s="56" t="inlineStr">
        <is>
          <t>네이버
스마트스토어</t>
        </is>
      </c>
      <c r="C21" s="56" t="inlineStr">
        <is>
          <t>신용카드 매출전표</t>
        </is>
      </c>
      <c r="D21" s="57" t="n">
        <v>9419732</v>
      </c>
      <c r="E21" s="58" t="inlineStr"/>
      <c r="F21" s="60" t="n"/>
      <c r="G21" s="60" t="n"/>
      <c r="H21" s="60" t="n"/>
      <c r="I21" s="60" t="n"/>
    </row>
    <row r="22" ht="20" customHeight="1" s="35">
      <c r="A22" s="56" t="n"/>
      <c r="B22" s="56" t="n"/>
      <c r="C22" s="56" t="inlineStr">
        <is>
          <t>현금영수증(소득공제)</t>
        </is>
      </c>
      <c r="D22" s="57" t="n">
        <v>4423397</v>
      </c>
      <c r="E22" s="58" t="inlineStr"/>
      <c r="F22" s="60" t="n"/>
      <c r="G22" s="60" t="n"/>
      <c r="H22" s="60" t="n"/>
      <c r="I22" s="60" t="n"/>
    </row>
    <row r="23" ht="20" customHeight="1" s="35">
      <c r="A23" s="56" t="n"/>
      <c r="B23" s="56" t="n"/>
      <c r="C23" s="56" t="inlineStr">
        <is>
          <t>현금영수증(지출증빙)</t>
        </is>
      </c>
      <c r="D23" s="57" t="n">
        <v>376938</v>
      </c>
      <c r="E23" s="58" t="inlineStr"/>
      <c r="F23" s="60" t="n"/>
      <c r="G23" s="60" t="n"/>
      <c r="H23" s="60" t="n"/>
      <c r="I23" s="60" t="n"/>
    </row>
    <row r="24" ht="20" customHeight="1" s="35">
      <c r="A24" s="56" t="n"/>
      <c r="B24" s="56" t="n"/>
      <c r="C24" s="56" t="inlineStr">
        <is>
          <t>현금영수증(발행 제외)</t>
        </is>
      </c>
      <c r="D24" s="57" t="n">
        <v>0</v>
      </c>
      <c r="E24" s="58" t="inlineStr"/>
      <c r="F24" s="60" t="n"/>
      <c r="G24" s="60" t="n"/>
      <c r="H24" s="60" t="n"/>
      <c r="I24" s="60" t="n"/>
    </row>
    <row r="25" ht="20" customHeight="1" s="35">
      <c r="A25" s="56" t="n"/>
      <c r="B25" s="56" t="n"/>
      <c r="C25" s="56" t="inlineStr">
        <is>
          <t>기타</t>
        </is>
      </c>
      <c r="D25" s="57" t="n">
        <v>1213293</v>
      </c>
      <c r="E25" s="58" t="inlineStr"/>
      <c r="F25" s="60" t="n"/>
      <c r="G25" s="60" t="n"/>
      <c r="H25" s="60" t="n"/>
      <c r="I25" s="60" t="n"/>
    </row>
    <row r="26" ht="20" customHeight="1" s="35">
      <c r="A26" s="61" t="n"/>
      <c r="B26" s="61" t="n"/>
      <c r="C26" s="61" t="inlineStr">
        <is>
          <t>합계</t>
        </is>
      </c>
      <c r="D26" s="62">
        <f>SUM(D21:D25)</f>
        <v/>
      </c>
      <c r="E26" s="63" t="inlineStr"/>
      <c r="F26" s="60" t="n"/>
      <c r="G26" s="60" t="n"/>
      <c r="H26" s="60" t="n"/>
      <c r="I26" s="60" t="n"/>
    </row>
    <row r="27" ht="20" customHeight="1" s="35">
      <c r="A27" s="56" t="n"/>
      <c r="B27" s="56" t="inlineStr">
        <is>
          <t>에이블리</t>
        </is>
      </c>
      <c r="C27" s="56" t="inlineStr">
        <is>
          <t>신용카드 발행</t>
        </is>
      </c>
      <c r="D27" s="57" t="n">
        <v>92651655</v>
      </c>
      <c r="E27" s="58" t="inlineStr"/>
      <c r="F27" s="60" t="n"/>
      <c r="G27" s="60" t="n"/>
      <c r="H27" s="60" t="n"/>
      <c r="I27" s="60" t="n"/>
    </row>
    <row r="28" ht="20" customHeight="1" s="35">
      <c r="A28" s="56" t="n"/>
      <c r="B28" s="56" t="n"/>
      <c r="C28" s="56" t="inlineStr">
        <is>
          <t>현금영수증 발행</t>
        </is>
      </c>
      <c r="D28" s="57" t="n">
        <v>83741108</v>
      </c>
      <c r="E28" s="58" t="inlineStr"/>
      <c r="F28" s="60" t="n"/>
      <c r="G28" s="60" t="n"/>
      <c r="H28" s="60" t="n"/>
      <c r="I28" s="60" t="n"/>
    </row>
    <row r="29" ht="20" customHeight="1" s="35">
      <c r="A29" s="56" t="n"/>
      <c r="B29" s="56" t="n"/>
      <c r="C29" s="56" t="inlineStr">
        <is>
          <t>현금 결제</t>
        </is>
      </c>
      <c r="D29" s="57" t="n">
        <v>2782738</v>
      </c>
      <c r="E29" s="58" t="inlineStr"/>
      <c r="F29" s="60" t="n"/>
      <c r="G29" s="60" t="n"/>
      <c r="H29" s="60" t="n"/>
      <c r="I29" s="60" t="n"/>
    </row>
    <row r="30" ht="20" customHeight="1" s="35">
      <c r="A30" s="56" t="n"/>
      <c r="B30" s="56" t="n"/>
      <c r="C30" s="56" t="inlineStr">
        <is>
          <t>휴대폰 결제</t>
        </is>
      </c>
      <c r="D30" s="57" t="n">
        <v>2452328</v>
      </c>
      <c r="E30" s="58" t="inlineStr"/>
      <c r="F30" s="60" t="n"/>
      <c r="G30" s="60" t="n"/>
      <c r="H30" s="60" t="n"/>
      <c r="I30" s="60" t="n"/>
    </row>
    <row r="31" ht="20" customHeight="1" s="35">
      <c r="A31" s="56" t="n"/>
      <c r="B31" s="56" t="n"/>
      <c r="C31" s="56" t="inlineStr">
        <is>
          <t>프로모션 지원금</t>
        </is>
      </c>
      <c r="D31" s="57" t="n">
        <v>30367935</v>
      </c>
      <c r="E31" s="58" t="inlineStr"/>
      <c r="F31" s="60" t="n"/>
      <c r="G31" s="60" t="n"/>
      <c r="H31" s="60" t="n"/>
      <c r="I31" s="60" t="n"/>
    </row>
    <row r="32" ht="20" customHeight="1" s="35">
      <c r="A32" s="56" t="n"/>
      <c r="B32" s="56" t="n"/>
      <c r="C32" s="56" t="inlineStr">
        <is>
          <t>기타</t>
        </is>
      </c>
      <c r="D32" s="57" t="n">
        <v>0</v>
      </c>
      <c r="E32" s="58" t="inlineStr"/>
      <c r="F32" s="60" t="n"/>
      <c r="G32" s="60" t="n"/>
      <c r="H32" s="60" t="n"/>
      <c r="I32" s="60" t="n"/>
    </row>
    <row r="33" ht="20" customHeight="1" s="35">
      <c r="A33" s="61" t="n"/>
      <c r="B33" s="61" t="n"/>
      <c r="C33" s="61" t="inlineStr">
        <is>
          <t>합계</t>
        </is>
      </c>
      <c r="D33" s="62">
        <f>SUM(D27:D32)</f>
        <v/>
      </c>
      <c r="E33" s="63" t="inlineStr"/>
      <c r="F33" s="60" t="n"/>
      <c r="G33" s="60" t="n"/>
      <c r="H33" s="60" t="n"/>
      <c r="I33" s="60" t="n"/>
    </row>
    <row r="34" ht="20" customHeight="1" s="35">
      <c r="A34" s="56" t="inlineStr">
        <is>
          <t>오터</t>
        </is>
      </c>
      <c r="B34" s="56" t="inlineStr">
        <is>
          <t>KOCES
&amp; 오프라인현금결제</t>
        </is>
      </c>
      <c r="C34" s="56" t="inlineStr">
        <is>
          <t>카드결제</t>
        </is>
      </c>
      <c r="D34" s="57" t="n">
        <v>0</v>
      </c>
      <c r="E34" s="58" t="inlineStr"/>
      <c r="F34" s="60" t="n"/>
      <c r="G34" s="60" t="n"/>
      <c r="H34" s="60" t="n"/>
      <c r="I34" s="60" t="n"/>
    </row>
    <row r="35" ht="20" customHeight="1" s="35">
      <c r="A35" s="56" t="n"/>
      <c r="B35" s="56" t="n"/>
      <c r="C35" s="56" t="inlineStr">
        <is>
          <t>간편결제</t>
        </is>
      </c>
      <c r="D35" s="57" t="n">
        <v>0</v>
      </c>
      <c r="E35" s="58" t="inlineStr"/>
      <c r="F35" s="60" t="n"/>
      <c r="G35" s="60" t="n"/>
      <c r="H35" s="60" t="n"/>
      <c r="I35" s="60" t="n"/>
    </row>
    <row r="36" ht="20" customHeight="1" s="35">
      <c r="A36" s="56" t="n"/>
      <c r="B36" s="56" t="n"/>
      <c r="C36" s="56" t="inlineStr">
        <is>
          <t>현금영수증</t>
        </is>
      </c>
      <c r="D36" s="57" t="n">
        <v>0</v>
      </c>
      <c r="E36" s="58" t="inlineStr"/>
      <c r="F36" s="60" t="n"/>
      <c r="G36" s="60" t="n"/>
      <c r="H36" s="60" t="n"/>
      <c r="I36" s="60" t="n"/>
    </row>
    <row r="37" ht="20" customHeight="1" s="35">
      <c r="A37" s="61" t="n"/>
      <c r="B37" s="61" t="n"/>
      <c r="C37" s="61" t="inlineStr">
        <is>
          <t>합계</t>
        </is>
      </c>
      <c r="D37" s="62">
        <f>SUM(D34:D36)</f>
        <v/>
      </c>
      <c r="E37" s="63" t="inlineStr"/>
      <c r="F37" s="60" t="n"/>
      <c r="G37" s="60" t="n"/>
      <c r="H37" s="60" t="n"/>
      <c r="I37" s="60" t="n"/>
    </row>
    <row r="38" ht="20" customHeight="1" s="35">
      <c r="A38" s="56" t="n"/>
      <c r="B38" s="56" t="inlineStr">
        <is>
          <t>무통장입금</t>
        </is>
      </c>
      <c r="C38" s="56" t="inlineStr">
        <is>
          <t>무통장입금</t>
        </is>
      </c>
      <c r="D38" s="57" t="n">
        <v>2383821</v>
      </c>
      <c r="E38" s="58" t="inlineStr"/>
      <c r="F38" s="59" t="n">
        <v>8082397</v>
      </c>
      <c r="G38" s="59" t="n">
        <v>443290</v>
      </c>
      <c r="H38" s="59" t="n">
        <v>5255286</v>
      </c>
      <c r="I38" s="60" t="n"/>
    </row>
    <row r="39" ht="20" customHeight="1" s="35">
      <c r="A39" s="56" t="n"/>
      <c r="B39" s="56" t="inlineStr">
        <is>
          <t>토스페이먼츠</t>
        </is>
      </c>
      <c r="C39" s="56" t="inlineStr">
        <is>
          <t>신용·체크카드</t>
        </is>
      </c>
      <c r="D39" s="57" t="n">
        <v>50502902</v>
      </c>
      <c r="E39" s="58" t="inlineStr"/>
      <c r="F39" s="60" t="n"/>
      <c r="G39" s="60" t="n"/>
      <c r="H39" s="60" t="n"/>
      <c r="I39" s="60" t="n"/>
    </row>
    <row r="40" ht="20" customHeight="1" s="35">
      <c r="A40" s="56" t="n"/>
      <c r="B40" s="56" t="n"/>
      <c r="C40" s="56" t="inlineStr">
        <is>
          <t>현금영수증 별도발급</t>
        </is>
      </c>
      <c r="D40" s="57" t="n">
        <v>5255286</v>
      </c>
      <c r="E40" s="58" t="inlineStr"/>
      <c r="F40" s="60" t="n"/>
      <c r="G40" s="60" t="n"/>
      <c r="H40" s="60" t="n"/>
      <c r="I40" s="60" t="n"/>
    </row>
    <row r="41" ht="20" customHeight="1" s="35">
      <c r="A41" s="56" t="n"/>
      <c r="B41" s="56" t="n"/>
      <c r="C41" s="56" t="inlineStr">
        <is>
          <t>기타(정규영수증 외 매출분)</t>
        </is>
      </c>
      <c r="D41" s="57" t="n">
        <v>25490</v>
      </c>
      <c r="E41" s="58" t="inlineStr"/>
      <c r="F41" s="60" t="n"/>
      <c r="G41" s="60" t="n"/>
      <c r="H41" s="60" t="n"/>
      <c r="I41" s="60" t="n"/>
    </row>
    <row r="42" ht="20" customHeight="1" s="35">
      <c r="A42" s="61" t="n"/>
      <c r="B42" s="61" t="n"/>
      <c r="C42" s="61" t="inlineStr">
        <is>
          <t>합계</t>
        </is>
      </c>
      <c r="D42" s="62">
        <f>SUM(D39:D41)</f>
        <v/>
      </c>
      <c r="E42" s="63" t="inlineStr"/>
      <c r="F42" s="60" t="n"/>
      <c r="G42" s="60" t="n"/>
      <c r="H42" s="60" t="n"/>
      <c r="I42" s="60" t="n"/>
    </row>
    <row r="43" ht="20" customHeight="1" s="35">
      <c r="A43" s="56" t="n"/>
      <c r="B43" s="56" t="inlineStr">
        <is>
          <t>네이버페이(결제형)</t>
        </is>
      </c>
      <c r="C43" s="56" t="inlineStr">
        <is>
          <t>신용카드 매출전표</t>
        </is>
      </c>
      <c r="D43" s="57" t="n">
        <v>26677206</v>
      </c>
      <c r="E43" s="58" t="inlineStr"/>
      <c r="F43" s="60" t="n"/>
      <c r="G43" s="60" t="n"/>
      <c r="H43" s="60" t="n"/>
      <c r="I43" s="60" t="n"/>
    </row>
    <row r="44" ht="20" customHeight="1" s="35">
      <c r="A44" s="56" t="n"/>
      <c r="B44" s="56" t="n"/>
      <c r="C44" s="56" t="inlineStr">
        <is>
          <t>현금영수증(소득공제)</t>
        </is>
      </c>
      <c r="D44" s="57" t="n">
        <v>18559071</v>
      </c>
      <c r="E44" s="58" t="inlineStr"/>
      <c r="F44" s="60" t="n"/>
      <c r="G44" s="60" t="n"/>
      <c r="H44" s="60" t="n"/>
      <c r="I44" s="60" t="n"/>
    </row>
    <row r="45" ht="20" customHeight="1" s="35">
      <c r="A45" s="56" t="n"/>
      <c r="B45" s="56" t="n"/>
      <c r="C45" s="56" t="inlineStr">
        <is>
          <t>현금영수증(지출증빙)</t>
        </is>
      </c>
      <c r="D45" s="57" t="n">
        <v>1186317</v>
      </c>
      <c r="E45" s="58" t="inlineStr"/>
      <c r="F45" s="60" t="n"/>
      <c r="G45" s="60" t="n"/>
      <c r="H45" s="60" t="n"/>
      <c r="I45" s="60" t="n"/>
    </row>
    <row r="46" ht="20" customHeight="1" s="35">
      <c r="A46" s="56" t="n"/>
      <c r="B46" s="56" t="n"/>
      <c r="C46" s="56" t="inlineStr">
        <is>
          <t>현금영수증(발행 제외)</t>
        </is>
      </c>
      <c r="D46" s="57" t="n">
        <v>0</v>
      </c>
      <c r="E46" s="58" t="inlineStr"/>
      <c r="F46" s="60" t="n"/>
      <c r="G46" s="60" t="n"/>
      <c r="H46" s="60" t="n"/>
      <c r="I46" s="60" t="n"/>
    </row>
    <row r="47" ht="20" customHeight="1" s="35">
      <c r="A47" s="56" t="n"/>
      <c r="B47" s="56" t="n"/>
      <c r="C47" s="56" t="inlineStr">
        <is>
          <t>기타</t>
        </is>
      </c>
      <c r="D47" s="57" t="n">
        <v>1422998</v>
      </c>
      <c r="E47" s="58" t="inlineStr"/>
      <c r="F47" s="60" t="n"/>
      <c r="G47" s="60" t="n"/>
      <c r="H47" s="60" t="n"/>
      <c r="I47" s="60" t="n"/>
    </row>
    <row r="48" ht="20" customHeight="1" s="35">
      <c r="A48" s="61" t="n"/>
      <c r="B48" s="61" t="n"/>
      <c r="C48" s="61" t="inlineStr">
        <is>
          <t>합계</t>
        </is>
      </c>
      <c r="D48" s="62">
        <f>SUM(D43:D47)</f>
        <v/>
      </c>
      <c r="E48" s="63" t="inlineStr"/>
      <c r="F48" s="60" t="n"/>
      <c r="G48" s="60" t="n"/>
      <c r="H48" s="60" t="n"/>
      <c r="I48" s="60" t="n"/>
    </row>
    <row r="49" ht="20" customHeight="1" s="35">
      <c r="A49" s="56" t="n"/>
      <c r="B49" s="56" t="inlineStr">
        <is>
          <t>네이버페이(주문형)</t>
        </is>
      </c>
      <c r="C49" s="56" t="inlineStr">
        <is>
          <t>신용카드 매출전표</t>
        </is>
      </c>
      <c r="D49" s="57" t="n">
        <v>16475704</v>
      </c>
      <c r="E49" s="58" t="inlineStr"/>
      <c r="F49" s="60" t="n"/>
      <c r="G49" s="60" t="n"/>
      <c r="H49" s="60" t="n"/>
      <c r="I49" s="60" t="n"/>
    </row>
    <row r="50" ht="20" customHeight="1" s="35">
      <c r="A50" s="56" t="n"/>
      <c r="B50" s="56" t="n"/>
      <c r="C50" s="56" t="inlineStr">
        <is>
          <t>현금영수증(소득공제)</t>
        </is>
      </c>
      <c r="D50" s="57" t="n">
        <v>10523001</v>
      </c>
      <c r="E50" s="58" t="inlineStr"/>
      <c r="F50" s="60" t="n"/>
      <c r="G50" s="60" t="n"/>
      <c r="H50" s="60" t="n"/>
      <c r="I50" s="60" t="n"/>
    </row>
    <row r="51" ht="20" customHeight="1" s="35">
      <c r="A51" s="56" t="n"/>
      <c r="B51" s="56" t="n"/>
      <c r="C51" s="56" t="inlineStr">
        <is>
          <t>현금영수증(지출증빙)</t>
        </is>
      </c>
      <c r="D51" s="57" t="n">
        <v>961277</v>
      </c>
      <c r="E51" s="58" t="inlineStr"/>
      <c r="F51" s="60" t="n"/>
      <c r="G51" s="60" t="n"/>
      <c r="H51" s="60" t="n"/>
      <c r="I51" s="60" t="n"/>
    </row>
    <row r="52" ht="20" customHeight="1" s="35">
      <c r="A52" s="56" t="n"/>
      <c r="B52" s="56" t="n"/>
      <c r="C52" s="56" t="inlineStr">
        <is>
          <t>현금영수증(발행 제외)</t>
        </is>
      </c>
      <c r="D52" s="57" t="n">
        <v>0</v>
      </c>
      <c r="E52" s="58" t="inlineStr"/>
      <c r="F52" s="60" t="n"/>
      <c r="G52" s="60" t="n"/>
      <c r="H52" s="60" t="n"/>
      <c r="I52" s="60" t="n"/>
    </row>
    <row r="53" ht="20" customHeight="1" s="35">
      <c r="A53" s="56" t="n"/>
      <c r="B53" s="56" t="n"/>
      <c r="C53" s="56" t="inlineStr">
        <is>
          <t>기타</t>
        </is>
      </c>
      <c r="D53" s="57" t="n">
        <v>1545818</v>
      </c>
      <c r="E53" s="58" t="inlineStr"/>
      <c r="F53" s="60" t="n"/>
      <c r="G53" s="60" t="n"/>
      <c r="H53" s="60" t="n"/>
      <c r="I53" s="60" t="n"/>
    </row>
    <row r="54" ht="20" customHeight="1" s="35">
      <c r="A54" s="61" t="n"/>
      <c r="B54" s="61" t="n"/>
      <c r="C54" s="61" t="inlineStr">
        <is>
          <t>합계</t>
        </is>
      </c>
      <c r="D54" s="62">
        <f>SUM(D49:D53)</f>
        <v/>
      </c>
      <c r="E54" s="63" t="inlineStr"/>
      <c r="F54" s="60" t="n"/>
      <c r="G54" s="60" t="n"/>
      <c r="H54" s="60" t="n"/>
      <c r="I54" s="60" t="n"/>
    </row>
    <row r="55" ht="20" customHeight="1" s="35">
      <c r="A55" s="56" t="n"/>
      <c r="B55" s="56" t="inlineStr">
        <is>
          <t>쿠팡(중개)</t>
        </is>
      </c>
      <c r="C55" s="56" t="inlineStr">
        <is>
          <t>신용/체크카드 발행 매출</t>
        </is>
      </c>
      <c r="D55" s="57" t="n">
        <v>942947</v>
      </c>
      <c r="E55" s="58" t="inlineStr"/>
      <c r="F55" s="60" t="n"/>
      <c r="G55" s="60" t="n"/>
      <c r="H55" s="60" t="n"/>
      <c r="I55" s="60" t="n"/>
    </row>
    <row r="56" ht="20" customHeight="1" s="35">
      <c r="A56" s="56" t="n"/>
      <c r="B56" s="56" t="n"/>
      <c r="C56" s="56" t="inlineStr">
        <is>
          <t>현금영수증 발행 매출</t>
        </is>
      </c>
      <c r="D56" s="57" t="n">
        <v>504879</v>
      </c>
      <c r="E56" s="58" t="inlineStr"/>
      <c r="F56" s="60" t="n"/>
      <c r="G56" s="60" t="n"/>
      <c r="H56" s="60" t="n"/>
      <c r="I56" s="60" t="n"/>
    </row>
    <row r="57" ht="20" customHeight="1" s="35">
      <c r="A57" s="56" t="n"/>
      <c r="B57" s="56" t="n"/>
      <c r="C57" s="56" t="inlineStr">
        <is>
          <t>기타</t>
        </is>
      </c>
      <c r="D57" s="57" t="n">
        <v>117714</v>
      </c>
      <c r="E57" s="58" t="inlineStr"/>
      <c r="F57" s="60" t="n"/>
      <c r="G57" s="60" t="n"/>
      <c r="H57" s="60" t="n"/>
      <c r="I57" s="60" t="n"/>
    </row>
    <row r="58" ht="20" customHeight="1" s="35">
      <c r="A58" s="61" t="n"/>
      <c r="B58" s="61" t="n"/>
      <c r="C58" s="61" t="inlineStr">
        <is>
          <t>합계</t>
        </is>
      </c>
      <c r="D58" s="62">
        <f>SUM(D55:D57)</f>
        <v/>
      </c>
      <c r="E58" s="63" t="inlineStr"/>
      <c r="F58" s="60" t="n"/>
      <c r="G58" s="60" t="n"/>
      <c r="H58" s="60" t="n"/>
      <c r="I58" s="60" t="n"/>
    </row>
    <row r="59" ht="20" customHeight="1" s="35">
      <c r="A59" s="56" t="n"/>
      <c r="B59" s="56" t="inlineStr">
        <is>
          <t>쿠팡(로켓그로스)</t>
        </is>
      </c>
      <c r="C59" s="56" t="inlineStr">
        <is>
          <t>신용/체크카드 발행 매출</t>
        </is>
      </c>
      <c r="D59" s="57" t="n">
        <v>11307620</v>
      </c>
      <c r="E59" s="58" t="inlineStr"/>
      <c r="F59" s="60" t="n"/>
      <c r="G59" s="60" t="n"/>
      <c r="H59" s="60" t="n"/>
      <c r="I59" s="60" t="n"/>
    </row>
    <row r="60" ht="20" customHeight="1" s="35">
      <c r="A60" s="56" t="n"/>
      <c r="B60" s="56" t="n"/>
      <c r="C60" s="56" t="inlineStr">
        <is>
          <t>현금영수증 발행 매출</t>
        </is>
      </c>
      <c r="D60" s="57" t="n">
        <v>3892892</v>
      </c>
      <c r="E60" s="58" t="inlineStr"/>
      <c r="F60" s="60" t="n"/>
      <c r="G60" s="60" t="n"/>
      <c r="H60" s="60" t="n"/>
      <c r="I60" s="60" t="n"/>
    </row>
    <row r="61" ht="20" customHeight="1" s="35">
      <c r="A61" s="56" t="n"/>
      <c r="B61" s="56" t="n"/>
      <c r="C61" s="56" t="inlineStr">
        <is>
          <t>기타</t>
        </is>
      </c>
      <c r="D61" s="57" t="n">
        <v>818022</v>
      </c>
      <c r="E61" s="58" t="inlineStr"/>
      <c r="F61" s="60" t="n"/>
      <c r="G61" s="60" t="n"/>
      <c r="H61" s="60" t="n"/>
      <c r="I61" s="60" t="n"/>
    </row>
    <row r="62" ht="20" customHeight="1" s="35">
      <c r="A62" s="61" t="n"/>
      <c r="B62" s="61" t="n"/>
      <c r="C62" s="61" t="inlineStr">
        <is>
          <t>합계</t>
        </is>
      </c>
      <c r="D62" s="62">
        <f>SUM(D59:D61)</f>
        <v/>
      </c>
      <c r="E62" s="63" t="inlineStr"/>
      <c r="F62" s="60" t="n"/>
      <c r="G62" s="60" t="n"/>
      <c r="H62" s="60" t="n"/>
      <c r="I62" s="60" t="n"/>
    </row>
    <row r="63" ht="20" customHeight="1" s="35">
      <c r="A63" s="56" t="n"/>
      <c r="B63" s="56" t="inlineStr">
        <is>
          <t>큐텐(이베이 재팬)</t>
        </is>
      </c>
      <c r="C63" s="56" t="inlineStr">
        <is>
          <t>정산금액</t>
        </is>
      </c>
      <c r="D63" s="57" t="n">
        <v>68460</v>
      </c>
      <c r="E63" s="58" t="inlineStr"/>
      <c r="F63" s="60" t="n"/>
      <c r="G63" s="60" t="n"/>
      <c r="H63" s="60" t="n"/>
      <c r="I63" s="60" t="n"/>
    </row>
    <row r="64" ht="20" customHeight="1" s="35">
      <c r="A64" s="56" t="inlineStr">
        <is>
          <t>위시</t>
        </is>
      </c>
      <c r="B64" s="56" t="inlineStr">
        <is>
          <t>무통장입금</t>
        </is>
      </c>
      <c r="C64" s="56" t="inlineStr">
        <is>
          <t>무통장입금</t>
        </is>
      </c>
      <c r="D64" s="57" t="n">
        <v>-443290</v>
      </c>
      <c r="E64" s="58" t="inlineStr"/>
      <c r="F64" s="59" t="n">
        <v>975465</v>
      </c>
      <c r="G64" s="59" t="n">
        <v>443290</v>
      </c>
      <c r="H64" s="59" t="n">
        <v>975465</v>
      </c>
      <c r="I64" s="60" t="n"/>
    </row>
    <row r="65" ht="20" customHeight="1" s="35">
      <c r="A65" s="56" t="n"/>
      <c r="B65" s="56" t="inlineStr">
        <is>
          <t>토스페이먼츠</t>
        </is>
      </c>
      <c r="C65" s="56" t="inlineStr">
        <is>
          <t>신용·체크카드</t>
        </is>
      </c>
      <c r="D65" s="57" t="n">
        <v>12257659</v>
      </c>
      <c r="E65" s="58" t="inlineStr"/>
      <c r="F65" s="60" t="n"/>
      <c r="G65" s="60" t="n"/>
      <c r="H65" s="60" t="n"/>
      <c r="I65" s="60" t="n"/>
    </row>
    <row r="66" ht="20" customHeight="1" s="35">
      <c r="A66" s="56" t="n"/>
      <c r="B66" s="56" t="n"/>
      <c r="C66" s="56" t="inlineStr">
        <is>
          <t>현금영수증 자동발행</t>
        </is>
      </c>
      <c r="D66" s="57" t="n">
        <v>2462106</v>
      </c>
      <c r="E66" s="58" t="inlineStr"/>
      <c r="F66" s="60" t="n"/>
      <c r="G66" s="60" t="n"/>
      <c r="H66" s="60" t="n"/>
      <c r="I66" s="60" t="n"/>
    </row>
    <row r="67" ht="20" customHeight="1" s="35">
      <c r="A67" s="56" t="n"/>
      <c r="B67" s="56" t="n"/>
      <c r="C67" s="56" t="inlineStr">
        <is>
          <t>현금영수증 별도발급</t>
        </is>
      </c>
      <c r="D67" s="57" t="n">
        <v>975465</v>
      </c>
      <c r="E67" s="58" t="inlineStr"/>
      <c r="F67" s="60" t="n"/>
      <c r="G67" s="60" t="n"/>
      <c r="H67" s="60" t="n"/>
      <c r="I67" s="60" t="n"/>
    </row>
    <row r="68" ht="20" customHeight="1" s="35">
      <c r="A68" s="56" t="n"/>
      <c r="B68" s="56" t="n"/>
      <c r="C68" s="56" t="inlineStr">
        <is>
          <t>기타(정규영수증 외 매출분)</t>
        </is>
      </c>
      <c r="D68" s="57" t="n">
        <v>8064</v>
      </c>
      <c r="E68" s="58" t="inlineStr"/>
      <c r="F68" s="60" t="n"/>
      <c r="G68" s="60" t="n"/>
      <c r="H68" s="60" t="n"/>
      <c r="I68" s="60" t="n"/>
    </row>
    <row r="69" ht="20" customHeight="1" s="35">
      <c r="A69" s="61" t="n"/>
      <c r="B69" s="61" t="n"/>
      <c r="C69" s="61" t="inlineStr">
        <is>
          <t>합계</t>
        </is>
      </c>
      <c r="D69" s="62">
        <f>SUM(D65:D68)</f>
        <v/>
      </c>
      <c r="E69" s="63" t="inlineStr"/>
      <c r="F69" s="60" t="n"/>
      <c r="G69" s="60" t="n"/>
      <c r="H69" s="60" t="n"/>
      <c r="I69" s="60" t="n"/>
    </row>
    <row r="70" ht="20" customHeight="1" s="35">
      <c r="A70" s="56" t="n"/>
      <c r="B70" s="56" t="inlineStr">
        <is>
          <t>네이버페이</t>
        </is>
      </c>
      <c r="C70" s="56" t="inlineStr">
        <is>
          <t>신용카드 매출전표</t>
        </is>
      </c>
      <c r="D70" s="57" t="n">
        <v>8575162</v>
      </c>
      <c r="E70" s="58" t="inlineStr"/>
      <c r="F70" s="60" t="n"/>
      <c r="G70" s="60" t="n"/>
      <c r="H70" s="60" t="n"/>
      <c r="I70" s="60" t="n"/>
    </row>
    <row r="71" ht="20" customHeight="1" s="35">
      <c r="A71" s="56" t="n"/>
      <c r="B71" s="56" t="n"/>
      <c r="C71" s="56" t="inlineStr">
        <is>
          <t>현금영수증(소득공제)</t>
        </is>
      </c>
      <c r="D71" s="57" t="n">
        <v>4890436</v>
      </c>
      <c r="E71" s="58" t="inlineStr"/>
      <c r="F71" s="60" t="n"/>
      <c r="G71" s="60" t="n"/>
      <c r="H71" s="60" t="n"/>
      <c r="I71" s="60" t="n"/>
    </row>
    <row r="72" ht="20" customHeight="1" s="35">
      <c r="A72" s="56" t="n"/>
      <c r="B72" s="56" t="n"/>
      <c r="C72" s="56" t="inlineStr">
        <is>
          <t>현금영수증(지출증빙)</t>
        </is>
      </c>
      <c r="D72" s="57" t="n">
        <v>471995</v>
      </c>
      <c r="E72" s="58" t="inlineStr"/>
      <c r="F72" s="60" t="n"/>
      <c r="G72" s="60" t="n"/>
      <c r="H72" s="60" t="n"/>
      <c r="I72" s="60" t="n"/>
    </row>
    <row r="73" ht="20" customHeight="1" s="35">
      <c r="A73" s="56" t="n"/>
      <c r="B73" s="56" t="n"/>
      <c r="C73" s="56" t="inlineStr">
        <is>
          <t>현금영수증(발행 제외)</t>
        </is>
      </c>
      <c r="D73" s="57" t="n">
        <v>0</v>
      </c>
      <c r="E73" s="58" t="inlineStr"/>
      <c r="F73" s="60" t="n"/>
      <c r="G73" s="60" t="n"/>
      <c r="H73" s="60" t="n"/>
      <c r="I73" s="60" t="n"/>
    </row>
    <row r="74" ht="20" customHeight="1" s="35">
      <c r="A74" s="56" t="n"/>
      <c r="B74" s="56" t="n"/>
      <c r="C74" s="56" t="inlineStr">
        <is>
          <t>기타</t>
        </is>
      </c>
      <c r="D74" s="57" t="n">
        <v>1041197</v>
      </c>
      <c r="E74" s="58" t="inlineStr"/>
      <c r="F74" s="60" t="n"/>
      <c r="G74" s="60" t="n"/>
      <c r="H74" s="60" t="n"/>
      <c r="I74" s="60" t="n"/>
    </row>
    <row r="75" ht="20" customHeight="1" s="35">
      <c r="A75" s="61" t="n"/>
      <c r="B75" s="61" t="n"/>
      <c r="C75" s="61" t="inlineStr">
        <is>
          <t>합계</t>
        </is>
      </c>
      <c r="D75" s="62">
        <f>SUM(D70:D74)</f>
        <v/>
      </c>
      <c r="E75" s="63" t="inlineStr"/>
      <c r="F75" s="60" t="n"/>
      <c r="G75" s="60" t="n"/>
      <c r="H75" s="60" t="n"/>
      <c r="I75" s="60" t="n"/>
    </row>
    <row r="76" ht="20" customHeight="1" s="35">
      <c r="A76" s="56" t="inlineStr">
        <is>
          <t>페이팔</t>
        </is>
      </c>
      <c r="B76" s="56" t="inlineStr">
        <is>
          <t>페이팔</t>
        </is>
      </c>
      <c r="C76" s="56" t="inlineStr">
        <is>
          <t>정산금액</t>
        </is>
      </c>
      <c r="D76" s="57" t="n">
        <v>605690</v>
      </c>
      <c r="E76" s="58" t="inlineStr"/>
      <c r="F76" s="60" t="n"/>
      <c r="G76" s="60" t="n"/>
      <c r="H76" s="60" t="n"/>
      <c r="I76" s="60" t="n"/>
    </row>
    <row r="77" ht="20" customHeight="1" s="35">
      <c r="A77" s="56" t="inlineStr">
        <is>
          <t>유튜브</t>
        </is>
      </c>
      <c r="B77" s="56" t="inlineStr">
        <is>
          <t>애드센스</t>
        </is>
      </c>
      <c r="C77" s="56" t="inlineStr">
        <is>
          <t>정산금액</t>
        </is>
      </c>
      <c r="D77" s="57" t="n">
        <v>850216</v>
      </c>
      <c r="E77" s="58" t="inlineStr"/>
      <c r="F77" s="60" t="n"/>
      <c r="G77" s="60" t="n"/>
      <c r="H77" s="60" t="n"/>
      <c r="I77" s="60" t="n"/>
    </row>
    <row r="78" ht="20" customHeight="1" s="35">
      <c r="A78" s="56" t="inlineStr">
        <is>
          <t>인스타그램</t>
        </is>
      </c>
      <c r="B78" s="56" t="inlineStr">
        <is>
          <t>인스타그램</t>
        </is>
      </c>
      <c r="C78" s="56" t="inlineStr">
        <is>
          <t>정산금액</t>
        </is>
      </c>
      <c r="D78" s="64" t="n"/>
      <c r="E78" s="58" t="inlineStr"/>
      <c r="F78" s="60" t="n"/>
      <c r="G78" s="60" t="n"/>
      <c r="H78" s="60" t="n"/>
      <c r="I78" s="60" t="n"/>
    </row>
    <row r="79" ht="20" customHeight="1" s="35">
      <c r="A79" s="65" t="inlineStr">
        <is>
          <t>총 매출 합계 (판매금액 총합)</t>
        </is>
      </c>
      <c r="B79" s="65" t="n"/>
      <c r="C79" s="65" t="n"/>
      <c r="D79" s="66">
        <f>SUM(D3,D8,D14,D20,D26,D33,D37,D38,D42,D48,D54,D58,D62,D63,D64,D69,D75,D76,D77,D78)</f>
        <v/>
      </c>
      <c r="E79" s="67" t="inlineStr"/>
      <c r="F79" s="60" t="n"/>
      <c r="G79" s="60" t="n"/>
      <c r="H79" s="60" t="n"/>
      <c r="I79" s="60" t="n"/>
    </row>
    <row r="80" ht="20" customHeight="1" s="35">
      <c r="A80" s="68" t="inlineStr">
        <is>
          <t>홈택스 현금영수증</t>
        </is>
      </c>
      <c r="B80" s="68" t="n"/>
      <c r="C80" s="68" t="inlineStr">
        <is>
          <t>2026년 2분기</t>
        </is>
      </c>
      <c r="D80" s="69" t="n">
        <v>243312794</v>
      </c>
      <c r="E80" s="70" t="inlineStr"/>
      <c r="F80" s="60" t="n"/>
      <c r="G80" s="60" t="n"/>
      <c r="H80" s="60" t="n"/>
      <c r="I80" s="60" t="n"/>
    </row>
  </sheetData>
  <mergeCells count="16">
    <mergeCell ref="B9:B14"/>
    <mergeCell ref="B39:B42"/>
    <mergeCell ref="B55:B58"/>
    <mergeCell ref="A34:A63"/>
    <mergeCell ref="B21:B26"/>
    <mergeCell ref="B70:B75"/>
    <mergeCell ref="B34:B37"/>
    <mergeCell ref="B65:B69"/>
    <mergeCell ref="B4:B8"/>
    <mergeCell ref="A64:A75"/>
    <mergeCell ref="A3:A33"/>
    <mergeCell ref="B43:B48"/>
    <mergeCell ref="B59:B62"/>
    <mergeCell ref="B27:B33"/>
    <mergeCell ref="B15:B20"/>
    <mergeCell ref="B49:B53"/>
  </mergeCells>
  <pageMargins left="0.7" right="0.7" top="0.75" bottom="0.75" header="0.3" footer="0.3"/>
  <pageSetup orientation="portrait" paperSize="9" scale="55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junghong seo</dc:creator>
  <dcterms:created xmlns:dcterms="http://purl.org/dc/terms/" xmlns:xsi="http://www.w3.org/2001/XMLSchema-instance" xsi:type="dcterms:W3CDTF">2021-01-19T01:49:31Z</dcterms:created>
  <dcterms:modified xmlns:dcterms="http://purl.org/dc/terms/" xmlns:xsi="http://www.w3.org/2001/XMLSchema-instance" xsi:type="dcterms:W3CDTF">2026-08-12T12:32:43Z</dcterms:modified>
  <cp:lastModifiedBy>INC MUD SCONE</cp:lastModifiedBy>
</cp:coreProperties>
</file>