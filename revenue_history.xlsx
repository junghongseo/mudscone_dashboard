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on\Desktop\ANTIGRAVITY\Mud_Dashboard\"/>
    </mc:Choice>
  </mc:AlternateContent>
  <xr:revisionPtr revIDLastSave="0" documentId="8_{A889EFBC-C2DF-46D7-9F5C-AA430EBE9C35}" xr6:coauthVersionLast="47" xr6:coauthVersionMax="47" xr10:uidLastSave="{00000000-0000-0000-0000-000000000000}"/>
  <bookViews>
    <workbookView xWindow="-120" yWindow="-120" windowWidth="29040" windowHeight="15840" xr2:uid="{501205C0-19EA-414B-B412-8DCB2033C87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E219" i="1" l="1"/>
  <c r="BB219" i="1"/>
  <c r="BG219" i="1" s="1"/>
  <c r="BE218" i="1"/>
  <c r="BB218" i="1"/>
  <c r="BG218" i="1" s="1"/>
  <c r="BE217" i="1"/>
  <c r="BB217" i="1"/>
  <c r="BG217" i="1" s="1"/>
  <c r="BE216" i="1"/>
  <c r="BB216" i="1"/>
  <c r="BG216" i="1" s="1"/>
  <c r="BE215" i="1"/>
  <c r="BB215" i="1"/>
  <c r="BG215" i="1" s="1"/>
  <c r="BE214" i="1"/>
  <c r="BB214" i="1"/>
  <c r="BE213" i="1"/>
  <c r="BB213" i="1"/>
  <c r="BG213" i="1" s="1"/>
  <c r="BE212" i="1"/>
  <c r="BB212" i="1"/>
  <c r="BG212" i="1" s="1"/>
  <c r="BE211" i="1"/>
  <c r="BB211" i="1"/>
  <c r="BG211" i="1" s="1"/>
  <c r="BE210" i="1"/>
  <c r="BB210" i="1"/>
  <c r="BG210" i="1" s="1"/>
  <c r="BE209" i="1"/>
  <c r="BB209" i="1"/>
  <c r="BG209" i="1" s="1"/>
  <c r="BE208" i="1"/>
  <c r="BB208" i="1"/>
  <c r="BE207" i="1"/>
  <c r="BB207" i="1"/>
  <c r="BG207" i="1" s="1"/>
  <c r="BE206" i="1"/>
  <c r="BB206" i="1"/>
  <c r="BG206" i="1" s="1"/>
  <c r="BE205" i="1"/>
  <c r="BB205" i="1"/>
  <c r="BG205" i="1" s="1"/>
  <c r="BE204" i="1"/>
  <c r="BB204" i="1"/>
  <c r="BG204" i="1" s="1"/>
  <c r="BE203" i="1"/>
  <c r="BB203" i="1"/>
  <c r="BG203" i="1" s="1"/>
  <c r="BE202" i="1"/>
  <c r="BB202" i="1"/>
  <c r="BE201" i="1"/>
  <c r="BB201" i="1"/>
  <c r="BG201" i="1" s="1"/>
  <c r="BE200" i="1"/>
  <c r="BB200" i="1"/>
  <c r="BG200" i="1" s="1"/>
  <c r="BE199" i="1"/>
  <c r="BB199" i="1"/>
  <c r="BG199" i="1" s="1"/>
  <c r="BE198" i="1"/>
  <c r="BB198" i="1"/>
  <c r="BG198" i="1" s="1"/>
  <c r="BE197" i="1"/>
  <c r="BB197" i="1"/>
  <c r="BG197" i="1" s="1"/>
  <c r="BE196" i="1"/>
  <c r="BB196" i="1"/>
  <c r="BE195" i="1"/>
  <c r="BB195" i="1"/>
  <c r="BG195" i="1" s="1"/>
  <c r="BE194" i="1"/>
  <c r="BB194" i="1"/>
  <c r="BG194" i="1" s="1"/>
  <c r="BE193" i="1"/>
  <c r="BB193" i="1"/>
  <c r="BG193" i="1" s="1"/>
  <c r="BE192" i="1"/>
  <c r="BB192" i="1"/>
  <c r="BG192" i="1" s="1"/>
  <c r="BE191" i="1"/>
  <c r="BB191" i="1"/>
  <c r="BG191" i="1" s="1"/>
  <c r="BE190" i="1"/>
  <c r="BB190" i="1"/>
  <c r="BE189" i="1"/>
  <c r="BB189" i="1"/>
  <c r="BG189" i="1" s="1"/>
  <c r="BE188" i="1"/>
  <c r="BB188" i="1"/>
  <c r="BG188" i="1" s="1"/>
  <c r="BE187" i="1"/>
  <c r="BB187" i="1"/>
  <c r="BG187" i="1" s="1"/>
  <c r="BE186" i="1"/>
  <c r="BB186" i="1"/>
  <c r="BG186" i="1" s="1"/>
  <c r="BE185" i="1"/>
  <c r="BB185" i="1"/>
  <c r="BG185" i="1" s="1"/>
  <c r="BE184" i="1"/>
  <c r="BB184" i="1"/>
  <c r="BE183" i="1"/>
  <c r="BB183" i="1"/>
  <c r="BG183" i="1" s="1"/>
  <c r="BE182" i="1"/>
  <c r="BB182" i="1"/>
  <c r="BG182" i="1" s="1"/>
  <c r="BE181" i="1"/>
  <c r="BB181" i="1"/>
  <c r="BG181" i="1" s="1"/>
  <c r="BE180" i="1"/>
  <c r="BB180" i="1"/>
  <c r="BG180" i="1" s="1"/>
  <c r="BE179" i="1"/>
  <c r="BB179" i="1"/>
  <c r="BG179" i="1" s="1"/>
  <c r="BE178" i="1"/>
  <c r="BB178" i="1"/>
  <c r="BE177" i="1"/>
  <c r="BB177" i="1"/>
  <c r="BG177" i="1" s="1"/>
  <c r="BE176" i="1"/>
  <c r="BB176" i="1"/>
  <c r="BG176" i="1" s="1"/>
  <c r="BE175" i="1"/>
  <c r="BB175" i="1"/>
  <c r="BG175" i="1" s="1"/>
  <c r="BE174" i="1"/>
  <c r="BB174" i="1"/>
  <c r="BG174" i="1" s="1"/>
  <c r="BE173" i="1"/>
  <c r="BB173" i="1"/>
  <c r="BG173" i="1" s="1"/>
  <c r="BE172" i="1"/>
  <c r="BB172" i="1"/>
  <c r="BE171" i="1"/>
  <c r="BB171" i="1"/>
  <c r="BG171" i="1" s="1"/>
  <c r="BE170" i="1"/>
  <c r="BB170" i="1"/>
  <c r="BG170" i="1" s="1"/>
  <c r="BE169" i="1"/>
  <c r="BB169" i="1"/>
  <c r="BG169" i="1" s="1"/>
  <c r="BE168" i="1"/>
  <c r="BB168" i="1"/>
  <c r="BG168" i="1" s="1"/>
  <c r="BE167" i="1"/>
  <c r="BB167" i="1"/>
  <c r="BG167" i="1" s="1"/>
  <c r="BE166" i="1"/>
  <c r="BB166" i="1"/>
  <c r="BE165" i="1"/>
  <c r="BB165" i="1"/>
  <c r="BG165" i="1" s="1"/>
  <c r="BE164" i="1"/>
  <c r="BB164" i="1"/>
  <c r="BG164" i="1" s="1"/>
  <c r="BE163" i="1"/>
  <c r="BB163" i="1"/>
  <c r="BG163" i="1" s="1"/>
  <c r="BE162" i="1"/>
  <c r="BB162" i="1"/>
  <c r="BG162" i="1" s="1"/>
  <c r="BE161" i="1"/>
  <c r="BB161" i="1"/>
  <c r="BG161" i="1" s="1"/>
  <c r="BE160" i="1"/>
  <c r="BB160" i="1"/>
  <c r="BE159" i="1"/>
  <c r="BB159" i="1"/>
  <c r="BG159" i="1" s="1"/>
  <c r="BE158" i="1"/>
  <c r="BB158" i="1"/>
  <c r="BG158" i="1" s="1"/>
  <c r="BE157" i="1"/>
  <c r="BB157" i="1"/>
  <c r="BG157" i="1" s="1"/>
  <c r="BE156" i="1"/>
  <c r="BB156" i="1"/>
  <c r="BG156" i="1" s="1"/>
  <c r="BE155" i="1"/>
  <c r="BB155" i="1"/>
  <c r="BG155" i="1" s="1"/>
  <c r="BE154" i="1"/>
  <c r="BB154" i="1"/>
  <c r="BE153" i="1"/>
  <c r="BB153" i="1"/>
  <c r="BG153" i="1" s="1"/>
  <c r="BE152" i="1"/>
  <c r="BB152" i="1"/>
  <c r="BG152" i="1" s="1"/>
  <c r="BE151" i="1"/>
  <c r="BB151" i="1"/>
  <c r="BG151" i="1" s="1"/>
  <c r="BE150" i="1"/>
  <c r="BB150" i="1"/>
  <c r="BG150" i="1" s="1"/>
  <c r="BE149" i="1"/>
  <c r="BB149" i="1"/>
  <c r="BG149" i="1" s="1"/>
  <c r="BE148" i="1"/>
  <c r="BB148" i="1"/>
  <c r="BE147" i="1"/>
  <c r="BB147" i="1"/>
  <c r="BG147" i="1" s="1"/>
  <c r="BE146" i="1"/>
  <c r="BB146" i="1"/>
  <c r="BG146" i="1" s="1"/>
  <c r="BE145" i="1"/>
  <c r="BB145" i="1"/>
  <c r="BG145" i="1" s="1"/>
  <c r="BE144" i="1"/>
  <c r="BB144" i="1"/>
  <c r="BG144" i="1" s="1"/>
  <c r="BE143" i="1"/>
  <c r="BB143" i="1"/>
  <c r="BG143" i="1" s="1"/>
  <c r="BE142" i="1"/>
  <c r="BB142" i="1"/>
  <c r="BE141" i="1"/>
  <c r="BB141" i="1"/>
  <c r="BG141" i="1" s="1"/>
  <c r="BE140" i="1"/>
  <c r="BB140" i="1"/>
  <c r="BG140" i="1" s="1"/>
  <c r="BE139" i="1"/>
  <c r="BB139" i="1"/>
  <c r="BG139" i="1" s="1"/>
  <c r="BE138" i="1"/>
  <c r="BB138" i="1"/>
  <c r="BG138" i="1" s="1"/>
  <c r="BE137" i="1"/>
  <c r="BB137" i="1"/>
  <c r="BG137" i="1" s="1"/>
  <c r="BE136" i="1"/>
  <c r="BB136" i="1"/>
  <c r="BE135" i="1"/>
  <c r="BB135" i="1"/>
  <c r="BG135" i="1" s="1"/>
  <c r="BE134" i="1"/>
  <c r="BB134" i="1"/>
  <c r="BG134" i="1" s="1"/>
  <c r="BE133" i="1"/>
  <c r="BB133" i="1"/>
  <c r="BG133" i="1" s="1"/>
  <c r="BE132" i="1"/>
  <c r="BB132" i="1"/>
  <c r="BG132" i="1" s="1"/>
  <c r="BE131" i="1"/>
  <c r="BB131" i="1"/>
  <c r="BG131" i="1" s="1"/>
  <c r="BE130" i="1"/>
  <c r="BB130" i="1"/>
  <c r="BE129" i="1"/>
  <c r="BB129" i="1"/>
  <c r="BG129" i="1" s="1"/>
  <c r="BE128" i="1"/>
  <c r="BB128" i="1"/>
  <c r="BG128" i="1" s="1"/>
  <c r="BE127" i="1"/>
  <c r="BB127" i="1"/>
  <c r="BG127" i="1" s="1"/>
  <c r="BE126" i="1"/>
  <c r="BB126" i="1"/>
  <c r="BG126" i="1" s="1"/>
  <c r="BE125" i="1"/>
  <c r="BB125" i="1"/>
  <c r="BG125" i="1" s="1"/>
  <c r="BE124" i="1"/>
  <c r="BB124" i="1"/>
  <c r="BE123" i="1"/>
  <c r="BB123" i="1"/>
  <c r="BG123" i="1" s="1"/>
  <c r="BE122" i="1"/>
  <c r="BB122" i="1"/>
  <c r="BG122" i="1" s="1"/>
  <c r="BE121" i="1"/>
  <c r="BB121" i="1"/>
  <c r="BG121" i="1" s="1"/>
  <c r="BE120" i="1"/>
  <c r="BB120" i="1"/>
  <c r="BG120" i="1" s="1"/>
  <c r="BE119" i="1"/>
  <c r="BB119" i="1"/>
  <c r="BG119" i="1" s="1"/>
  <c r="BE118" i="1"/>
  <c r="BB118" i="1"/>
  <c r="BE117" i="1"/>
  <c r="BB117" i="1"/>
  <c r="BG117" i="1" s="1"/>
  <c r="BE116" i="1"/>
  <c r="BB116" i="1"/>
  <c r="BG116" i="1" s="1"/>
  <c r="BE115" i="1"/>
  <c r="BB115" i="1"/>
  <c r="BG115" i="1" s="1"/>
  <c r="BE114" i="1"/>
  <c r="BB114" i="1"/>
  <c r="BG114" i="1" s="1"/>
  <c r="BE113" i="1"/>
  <c r="BB113" i="1"/>
  <c r="BG113" i="1" s="1"/>
  <c r="BE112" i="1"/>
  <c r="BB112" i="1"/>
  <c r="BE111" i="1"/>
  <c r="BB111" i="1"/>
  <c r="BG111" i="1" s="1"/>
  <c r="BE110" i="1"/>
  <c r="BB110" i="1"/>
  <c r="BG110" i="1" s="1"/>
  <c r="BE109" i="1"/>
  <c r="BB109" i="1"/>
  <c r="BG109" i="1" s="1"/>
  <c r="BE108" i="1"/>
  <c r="BB108" i="1"/>
  <c r="BG108" i="1" s="1"/>
  <c r="BE107" i="1"/>
  <c r="BB107" i="1"/>
  <c r="BG107" i="1" s="1"/>
  <c r="BE106" i="1"/>
  <c r="BB106" i="1"/>
  <c r="BE105" i="1"/>
  <c r="BB105" i="1"/>
  <c r="BG105" i="1" s="1"/>
  <c r="BE104" i="1"/>
  <c r="BB104" i="1"/>
  <c r="BG104" i="1" s="1"/>
  <c r="BE103" i="1"/>
  <c r="BB103" i="1"/>
  <c r="BG103" i="1" s="1"/>
  <c r="BE102" i="1"/>
  <c r="BB102" i="1"/>
  <c r="BG102" i="1" s="1"/>
  <c r="BE101" i="1"/>
  <c r="BB101" i="1"/>
  <c r="BG101" i="1" s="1"/>
  <c r="BE100" i="1"/>
  <c r="BB100" i="1"/>
  <c r="BE99" i="1"/>
  <c r="BB99" i="1"/>
  <c r="BG99" i="1" s="1"/>
  <c r="BE98" i="1"/>
  <c r="BB98" i="1"/>
  <c r="BG98" i="1" s="1"/>
  <c r="BE97" i="1"/>
  <c r="BB97" i="1"/>
  <c r="BG97" i="1" s="1"/>
  <c r="BE96" i="1"/>
  <c r="BB96" i="1"/>
  <c r="BG96" i="1" s="1"/>
  <c r="BE95" i="1"/>
  <c r="BB95" i="1"/>
  <c r="BG95" i="1" s="1"/>
  <c r="BE94" i="1"/>
  <c r="BB94" i="1"/>
  <c r="BE93" i="1"/>
  <c r="BB93" i="1"/>
  <c r="BG93" i="1" s="1"/>
  <c r="BE92" i="1"/>
  <c r="BB92" i="1"/>
  <c r="BG92" i="1" s="1"/>
  <c r="BE91" i="1"/>
  <c r="BB91" i="1"/>
  <c r="BG91" i="1" s="1"/>
  <c r="BE90" i="1"/>
  <c r="BB90" i="1"/>
  <c r="BG90" i="1" s="1"/>
  <c r="BE89" i="1"/>
  <c r="BB89" i="1"/>
  <c r="BG89" i="1" s="1"/>
  <c r="BE88" i="1"/>
  <c r="BB88" i="1"/>
  <c r="BE87" i="1"/>
  <c r="BB87" i="1"/>
  <c r="BG87" i="1" s="1"/>
  <c r="BE86" i="1"/>
  <c r="BB86" i="1"/>
  <c r="BG86" i="1" s="1"/>
  <c r="BE85" i="1"/>
  <c r="BB85" i="1"/>
  <c r="BG85" i="1" s="1"/>
  <c r="BE84" i="1"/>
  <c r="BB84" i="1"/>
  <c r="BG84" i="1" s="1"/>
  <c r="BE83" i="1"/>
  <c r="BB83" i="1"/>
  <c r="BG83" i="1" s="1"/>
  <c r="BE82" i="1"/>
  <c r="BB82" i="1"/>
  <c r="BE81" i="1"/>
  <c r="BB81" i="1"/>
  <c r="BG81" i="1" s="1"/>
  <c r="BE80" i="1"/>
  <c r="BB80" i="1"/>
  <c r="BG80" i="1" s="1"/>
  <c r="BE79" i="1"/>
  <c r="BB79" i="1"/>
  <c r="BG79" i="1" s="1"/>
  <c r="BE78" i="1"/>
  <c r="BB78" i="1"/>
  <c r="BG78" i="1" s="1"/>
  <c r="BE77" i="1"/>
  <c r="BB77" i="1"/>
  <c r="BG77" i="1" s="1"/>
  <c r="BE76" i="1"/>
  <c r="BB76" i="1"/>
  <c r="BE75" i="1"/>
  <c r="BB75" i="1"/>
  <c r="BG75" i="1" s="1"/>
  <c r="BE74" i="1"/>
  <c r="BB74" i="1"/>
  <c r="BG74" i="1" s="1"/>
  <c r="BE73" i="1"/>
  <c r="BB73" i="1"/>
  <c r="BG73" i="1" s="1"/>
  <c r="BE72" i="1"/>
  <c r="BB72" i="1"/>
  <c r="BG72" i="1" s="1"/>
  <c r="BE71" i="1"/>
  <c r="BB71" i="1"/>
  <c r="BG71" i="1" s="1"/>
  <c r="BE70" i="1"/>
  <c r="BB70" i="1"/>
  <c r="BE69" i="1"/>
  <c r="BB69" i="1"/>
  <c r="BG69" i="1" s="1"/>
  <c r="BE68" i="1"/>
  <c r="BB68" i="1"/>
  <c r="BG68" i="1" s="1"/>
  <c r="BE67" i="1"/>
  <c r="BB67" i="1"/>
  <c r="BG67" i="1" s="1"/>
  <c r="BE66" i="1"/>
  <c r="BB66" i="1"/>
  <c r="BG66" i="1" s="1"/>
  <c r="BE65" i="1"/>
  <c r="BB65" i="1"/>
  <c r="BG65" i="1" s="1"/>
  <c r="BE64" i="1"/>
  <c r="BB64" i="1"/>
  <c r="BE63" i="1"/>
  <c r="BB63" i="1"/>
  <c r="BG63" i="1" s="1"/>
  <c r="BE62" i="1"/>
  <c r="BB62" i="1"/>
  <c r="BG62" i="1" s="1"/>
  <c r="BE61" i="1"/>
  <c r="BB61" i="1"/>
  <c r="BG61" i="1" s="1"/>
  <c r="BE60" i="1"/>
  <c r="BB60" i="1"/>
  <c r="BG60" i="1" s="1"/>
  <c r="BE59" i="1"/>
  <c r="BB59" i="1"/>
  <c r="BG59" i="1" s="1"/>
  <c r="BE58" i="1"/>
  <c r="BB58" i="1"/>
  <c r="BE57" i="1"/>
  <c r="BB57" i="1"/>
  <c r="BG57" i="1" s="1"/>
  <c r="BE56" i="1"/>
  <c r="BB56" i="1"/>
  <c r="BG56" i="1" s="1"/>
  <c r="BE55" i="1"/>
  <c r="BB55" i="1"/>
  <c r="BG55" i="1" s="1"/>
  <c r="BE54" i="1"/>
  <c r="BB54" i="1"/>
  <c r="BG54" i="1" s="1"/>
  <c r="BE53" i="1"/>
  <c r="BB53" i="1"/>
  <c r="BG53" i="1" s="1"/>
  <c r="BE52" i="1"/>
  <c r="BB52" i="1"/>
  <c r="BE51" i="1"/>
  <c r="BB51" i="1"/>
  <c r="BG51" i="1" s="1"/>
  <c r="BE50" i="1"/>
  <c r="BB50" i="1"/>
  <c r="BG50" i="1" s="1"/>
  <c r="BG49" i="1"/>
  <c r="BE49" i="1"/>
  <c r="BB49" i="1"/>
  <c r="BG48" i="1"/>
  <c r="BE48" i="1"/>
  <c r="BB48" i="1"/>
  <c r="BG47" i="1"/>
  <c r="BE47" i="1"/>
  <c r="BB47" i="1"/>
  <c r="BG46" i="1"/>
  <c r="BE46" i="1"/>
  <c r="BB46" i="1"/>
  <c r="BG45" i="1"/>
  <c r="BE45" i="1"/>
  <c r="BB45" i="1"/>
  <c r="BG44" i="1"/>
  <c r="BE44" i="1"/>
  <c r="BB44" i="1"/>
  <c r="BG43" i="1"/>
  <c r="BE43" i="1"/>
  <c r="BB43" i="1"/>
  <c r="BG42" i="1"/>
  <c r="BE42" i="1"/>
  <c r="BB42" i="1"/>
  <c r="BG41" i="1"/>
  <c r="BE41" i="1"/>
  <c r="BB41" i="1"/>
  <c r="BG40" i="1"/>
  <c r="BE40" i="1"/>
  <c r="BB40" i="1"/>
  <c r="BG39" i="1"/>
  <c r="BE39" i="1"/>
  <c r="BB39" i="1"/>
  <c r="BG38" i="1"/>
  <c r="BE38" i="1"/>
  <c r="BB38" i="1"/>
  <c r="BG37" i="1"/>
  <c r="BE37" i="1"/>
  <c r="BB37" i="1"/>
  <c r="BG36" i="1"/>
  <c r="BE36" i="1"/>
  <c r="BB36" i="1"/>
  <c r="BG35" i="1"/>
  <c r="BE35" i="1"/>
  <c r="BB35" i="1"/>
  <c r="BG34" i="1"/>
  <c r="BE34" i="1"/>
  <c r="BB34" i="1"/>
  <c r="BG33" i="1"/>
  <c r="BE33" i="1"/>
  <c r="BB33" i="1"/>
  <c r="BG32" i="1"/>
  <c r="BE32" i="1"/>
  <c r="BB32" i="1"/>
  <c r="BG31" i="1"/>
  <c r="BE31" i="1"/>
  <c r="BB31" i="1"/>
  <c r="BG30" i="1"/>
  <c r="BE30" i="1"/>
  <c r="BB30" i="1"/>
  <c r="BG29" i="1"/>
  <c r="BE29" i="1"/>
  <c r="BB29" i="1"/>
  <c r="BG28" i="1"/>
  <c r="BE28" i="1"/>
  <c r="BB28" i="1"/>
  <c r="BG27" i="1"/>
  <c r="BE27" i="1"/>
  <c r="BB27" i="1"/>
  <c r="BG26" i="1"/>
  <c r="BE26" i="1"/>
  <c r="BB26" i="1"/>
  <c r="BG25" i="1"/>
  <c r="BE25" i="1"/>
  <c r="BB25" i="1"/>
  <c r="BG24" i="1"/>
  <c r="BE24" i="1"/>
  <c r="BB24" i="1"/>
  <c r="BG23" i="1"/>
  <c r="BE23" i="1"/>
  <c r="BB23" i="1"/>
  <c r="BG22" i="1"/>
  <c r="BE22" i="1"/>
  <c r="BB22" i="1"/>
  <c r="BG21" i="1"/>
  <c r="BE21" i="1"/>
  <c r="BB21" i="1"/>
  <c r="BG20" i="1"/>
  <c r="BE20" i="1"/>
  <c r="BB20" i="1"/>
  <c r="BG19" i="1"/>
  <c r="BE19" i="1"/>
  <c r="BB19" i="1"/>
  <c r="BG18" i="1"/>
  <c r="BE18" i="1"/>
  <c r="BB18" i="1"/>
  <c r="BG17" i="1"/>
  <c r="BE17" i="1"/>
  <c r="BB17" i="1"/>
  <c r="BG16" i="1"/>
  <c r="BE16" i="1"/>
  <c r="BB16" i="1"/>
  <c r="BG15" i="1"/>
  <c r="BE15" i="1"/>
  <c r="BB15" i="1"/>
  <c r="BG14" i="1"/>
  <c r="BE14" i="1"/>
  <c r="BB14" i="1"/>
  <c r="BG13" i="1"/>
  <c r="BE13" i="1"/>
  <c r="BB13" i="1"/>
  <c r="BG12" i="1"/>
  <c r="BE12" i="1"/>
  <c r="BB12" i="1"/>
  <c r="BG11" i="1"/>
  <c r="BE11" i="1"/>
  <c r="BB11" i="1"/>
  <c r="BG10" i="1"/>
  <c r="BE10" i="1"/>
  <c r="BB10" i="1"/>
  <c r="BG9" i="1"/>
  <c r="BE9" i="1"/>
  <c r="BB9" i="1"/>
  <c r="BG8" i="1"/>
  <c r="BE8" i="1"/>
  <c r="BB8" i="1"/>
  <c r="BG7" i="1"/>
  <c r="BE7" i="1"/>
  <c r="BB7" i="1"/>
  <c r="BG6" i="1"/>
  <c r="BE6" i="1"/>
  <c r="BB6" i="1"/>
  <c r="BG5" i="1"/>
  <c r="BE5" i="1"/>
  <c r="BB5" i="1"/>
  <c r="BG4" i="1"/>
  <c r="BE4" i="1"/>
  <c r="BB4" i="1"/>
  <c r="AT370" i="1"/>
  <c r="AQ370" i="1"/>
  <c r="AV370" i="1" s="1"/>
  <c r="AT369" i="1"/>
  <c r="AV369" i="1" s="1"/>
  <c r="AQ369" i="1"/>
  <c r="AT368" i="1"/>
  <c r="AV368" i="1" s="1"/>
  <c r="AQ368" i="1"/>
  <c r="AT367" i="1"/>
  <c r="AV367" i="1" s="1"/>
  <c r="AQ367" i="1"/>
  <c r="AT366" i="1"/>
  <c r="AV366" i="1" s="1"/>
  <c r="AQ366" i="1"/>
  <c r="AV365" i="1"/>
  <c r="AT365" i="1"/>
  <c r="AQ365" i="1"/>
  <c r="AT364" i="1"/>
  <c r="AV364" i="1" s="1"/>
  <c r="AQ364" i="1"/>
  <c r="AT363" i="1"/>
  <c r="AV363" i="1" s="1"/>
  <c r="AQ363" i="1"/>
  <c r="AT362" i="1"/>
  <c r="AV362" i="1" s="1"/>
  <c r="AQ362" i="1"/>
  <c r="AV361" i="1"/>
  <c r="AT361" i="1"/>
  <c r="AQ361" i="1"/>
  <c r="AT360" i="1"/>
  <c r="AV360" i="1" s="1"/>
  <c r="AQ360" i="1"/>
  <c r="AT359" i="1"/>
  <c r="AV359" i="1" s="1"/>
  <c r="AQ359" i="1"/>
  <c r="AT358" i="1"/>
  <c r="AV358" i="1" s="1"/>
  <c r="AQ358" i="1"/>
  <c r="AT357" i="1"/>
  <c r="AV357" i="1" s="1"/>
  <c r="AQ357" i="1"/>
  <c r="AT356" i="1"/>
  <c r="AV356" i="1" s="1"/>
  <c r="AQ356" i="1"/>
  <c r="AT355" i="1"/>
  <c r="AV355" i="1" s="1"/>
  <c r="AQ355" i="1"/>
  <c r="AT354" i="1"/>
  <c r="AV354" i="1" s="1"/>
  <c r="AQ354" i="1"/>
  <c r="AV353" i="1"/>
  <c r="AT353" i="1"/>
  <c r="AQ353" i="1"/>
  <c r="AT352" i="1"/>
  <c r="AV352" i="1" s="1"/>
  <c r="AQ352" i="1"/>
  <c r="AT351" i="1"/>
  <c r="AV351" i="1" s="1"/>
  <c r="AQ351" i="1"/>
  <c r="AT350" i="1"/>
  <c r="AV350" i="1" s="1"/>
  <c r="AQ350" i="1"/>
  <c r="AV349" i="1"/>
  <c r="AT349" i="1"/>
  <c r="AQ349" i="1"/>
  <c r="AT348" i="1"/>
  <c r="AV348" i="1" s="1"/>
  <c r="AQ348" i="1"/>
  <c r="AT347" i="1"/>
  <c r="AV347" i="1" s="1"/>
  <c r="AQ347" i="1"/>
  <c r="AT346" i="1"/>
  <c r="AV346" i="1" s="1"/>
  <c r="AQ346" i="1"/>
  <c r="AT345" i="1"/>
  <c r="AV345" i="1" s="1"/>
  <c r="AQ345" i="1"/>
  <c r="AT344" i="1"/>
  <c r="AV344" i="1" s="1"/>
  <c r="AQ344" i="1"/>
  <c r="AT343" i="1"/>
  <c r="AV343" i="1" s="1"/>
  <c r="AQ343" i="1"/>
  <c r="AT342" i="1"/>
  <c r="AV342" i="1" s="1"/>
  <c r="AQ342" i="1"/>
  <c r="AV341" i="1"/>
  <c r="AT341" i="1"/>
  <c r="AQ341" i="1"/>
  <c r="AT340" i="1"/>
  <c r="AV340" i="1" s="1"/>
  <c r="AQ340" i="1"/>
  <c r="AT339" i="1"/>
  <c r="AV339" i="1" s="1"/>
  <c r="AQ339" i="1"/>
  <c r="AT338" i="1"/>
  <c r="AV338" i="1" s="1"/>
  <c r="AQ338" i="1"/>
  <c r="AV337" i="1"/>
  <c r="AT337" i="1"/>
  <c r="AQ337" i="1"/>
  <c r="AT336" i="1"/>
  <c r="AV336" i="1" s="1"/>
  <c r="AQ336" i="1"/>
  <c r="AT335" i="1"/>
  <c r="AV335" i="1" s="1"/>
  <c r="AQ335" i="1"/>
  <c r="AT334" i="1"/>
  <c r="AV334" i="1" s="1"/>
  <c r="AQ334" i="1"/>
  <c r="AT333" i="1"/>
  <c r="AV333" i="1" s="1"/>
  <c r="AQ333" i="1"/>
  <c r="AT332" i="1"/>
  <c r="AV332" i="1" s="1"/>
  <c r="AQ332" i="1"/>
  <c r="AT331" i="1"/>
  <c r="AV331" i="1" s="1"/>
  <c r="AQ331" i="1"/>
  <c r="AT330" i="1"/>
  <c r="AV330" i="1" s="1"/>
  <c r="AQ330" i="1"/>
  <c r="AV329" i="1"/>
  <c r="AT329" i="1"/>
  <c r="AQ329" i="1"/>
  <c r="AT328" i="1"/>
  <c r="AV328" i="1" s="1"/>
  <c r="AQ328" i="1"/>
  <c r="AT327" i="1"/>
  <c r="AV327" i="1" s="1"/>
  <c r="AQ327" i="1"/>
  <c r="AT326" i="1"/>
  <c r="AV326" i="1" s="1"/>
  <c r="AQ326" i="1"/>
  <c r="AV325" i="1"/>
  <c r="AT325" i="1"/>
  <c r="AQ325" i="1"/>
  <c r="AT324" i="1"/>
  <c r="AV324" i="1" s="1"/>
  <c r="AQ324" i="1"/>
  <c r="AT323" i="1"/>
  <c r="AV323" i="1" s="1"/>
  <c r="AQ323" i="1"/>
  <c r="AT322" i="1"/>
  <c r="AV322" i="1" s="1"/>
  <c r="AQ322" i="1"/>
  <c r="AT321" i="1"/>
  <c r="AV321" i="1" s="1"/>
  <c r="AQ321" i="1"/>
  <c r="AT320" i="1"/>
  <c r="AV320" i="1" s="1"/>
  <c r="AQ320" i="1"/>
  <c r="AT319" i="1"/>
  <c r="AV319" i="1" s="1"/>
  <c r="AQ319" i="1"/>
  <c r="AT318" i="1"/>
  <c r="AV318" i="1" s="1"/>
  <c r="AQ318" i="1"/>
  <c r="AV317" i="1"/>
  <c r="AT317" i="1"/>
  <c r="AQ317" i="1"/>
  <c r="AT316" i="1"/>
  <c r="AV316" i="1" s="1"/>
  <c r="AQ316" i="1"/>
  <c r="AT315" i="1"/>
  <c r="AV315" i="1" s="1"/>
  <c r="AQ315" i="1"/>
  <c r="AT314" i="1"/>
  <c r="AV314" i="1" s="1"/>
  <c r="AQ314" i="1"/>
  <c r="AV313" i="1"/>
  <c r="AT313" i="1"/>
  <c r="AQ313" i="1"/>
  <c r="AT312" i="1"/>
  <c r="AV312" i="1" s="1"/>
  <c r="AQ312" i="1"/>
  <c r="AT311" i="1"/>
  <c r="AV311" i="1" s="1"/>
  <c r="AQ311" i="1"/>
  <c r="AT310" i="1"/>
  <c r="AQ310" i="1"/>
  <c r="AT309" i="1"/>
  <c r="AV309" i="1" s="1"/>
  <c r="AQ309" i="1"/>
  <c r="AT308" i="1"/>
  <c r="AQ308" i="1"/>
  <c r="AV308" i="1" s="1"/>
  <c r="AT307" i="1"/>
  <c r="AV307" i="1" s="1"/>
  <c r="AQ307" i="1"/>
  <c r="AT306" i="1"/>
  <c r="AQ306" i="1"/>
  <c r="AV305" i="1"/>
  <c r="AT305" i="1"/>
  <c r="AQ305" i="1"/>
  <c r="AT304" i="1"/>
  <c r="AQ304" i="1"/>
  <c r="AV304" i="1" s="1"/>
  <c r="AT303" i="1"/>
  <c r="AV303" i="1" s="1"/>
  <c r="AQ303" i="1"/>
  <c r="AT302" i="1"/>
  <c r="AQ302" i="1"/>
  <c r="AV302" i="1" s="1"/>
  <c r="AV301" i="1"/>
  <c r="AT301" i="1"/>
  <c r="AQ301" i="1"/>
  <c r="AT300" i="1"/>
  <c r="AQ300" i="1"/>
  <c r="AV300" i="1" s="1"/>
  <c r="AT299" i="1"/>
  <c r="AV299" i="1" s="1"/>
  <c r="AQ299" i="1"/>
  <c r="AT298" i="1"/>
  <c r="AQ298" i="1"/>
  <c r="AT297" i="1"/>
  <c r="AV297" i="1" s="1"/>
  <c r="AQ297" i="1"/>
  <c r="AT296" i="1"/>
  <c r="AQ296" i="1"/>
  <c r="AV296" i="1" s="1"/>
  <c r="AT295" i="1"/>
  <c r="AV295" i="1" s="1"/>
  <c r="AQ295" i="1"/>
  <c r="AT294" i="1"/>
  <c r="AQ294" i="1"/>
  <c r="AV293" i="1"/>
  <c r="AT293" i="1"/>
  <c r="AQ293" i="1"/>
  <c r="AT292" i="1"/>
  <c r="AQ292" i="1"/>
  <c r="AV292" i="1" s="1"/>
  <c r="AT291" i="1"/>
  <c r="AV291" i="1" s="1"/>
  <c r="AQ291" i="1"/>
  <c r="AT290" i="1"/>
  <c r="AQ290" i="1"/>
  <c r="AV290" i="1" s="1"/>
  <c r="AV289" i="1"/>
  <c r="AT289" i="1"/>
  <c r="AQ289" i="1"/>
  <c r="AT288" i="1"/>
  <c r="AQ288" i="1"/>
  <c r="AV288" i="1" s="1"/>
  <c r="AT287" i="1"/>
  <c r="AV287" i="1" s="1"/>
  <c r="AQ287" i="1"/>
  <c r="AT286" i="1"/>
  <c r="AQ286" i="1"/>
  <c r="AT285" i="1"/>
  <c r="AV285" i="1" s="1"/>
  <c r="AQ285" i="1"/>
  <c r="AT284" i="1"/>
  <c r="AQ284" i="1"/>
  <c r="AV284" i="1" s="1"/>
  <c r="AT283" i="1"/>
  <c r="AV283" i="1" s="1"/>
  <c r="AQ283" i="1"/>
  <c r="AT282" i="1"/>
  <c r="AQ282" i="1"/>
  <c r="AV281" i="1"/>
  <c r="AT281" i="1"/>
  <c r="AQ281" i="1"/>
  <c r="AT280" i="1"/>
  <c r="AQ280" i="1"/>
  <c r="AV280" i="1" s="1"/>
  <c r="AT279" i="1"/>
  <c r="AV279" i="1" s="1"/>
  <c r="AQ279" i="1"/>
  <c r="AT278" i="1"/>
  <c r="AQ278" i="1"/>
  <c r="AV278" i="1" s="1"/>
  <c r="AV277" i="1"/>
  <c r="AT277" i="1"/>
  <c r="AQ277" i="1"/>
  <c r="AT276" i="1"/>
  <c r="AQ276" i="1"/>
  <c r="AV276" i="1" s="1"/>
  <c r="AT275" i="1"/>
  <c r="AV275" i="1" s="1"/>
  <c r="AQ275" i="1"/>
  <c r="AT274" i="1"/>
  <c r="AQ274" i="1"/>
  <c r="AT273" i="1"/>
  <c r="AV273" i="1" s="1"/>
  <c r="AQ273" i="1"/>
  <c r="AT272" i="1"/>
  <c r="AQ272" i="1"/>
  <c r="AV272" i="1" s="1"/>
  <c r="AT271" i="1"/>
  <c r="AV271" i="1" s="1"/>
  <c r="AQ271" i="1"/>
  <c r="AT270" i="1"/>
  <c r="AQ270" i="1"/>
  <c r="AV269" i="1"/>
  <c r="AT269" i="1"/>
  <c r="AQ269" i="1"/>
  <c r="AT268" i="1"/>
  <c r="AQ268" i="1"/>
  <c r="AV268" i="1" s="1"/>
  <c r="AT267" i="1"/>
  <c r="AV267" i="1" s="1"/>
  <c r="AQ267" i="1"/>
  <c r="AT266" i="1"/>
  <c r="AQ266" i="1"/>
  <c r="AV266" i="1" s="1"/>
  <c r="AV265" i="1"/>
  <c r="AT265" i="1"/>
  <c r="AQ265" i="1"/>
  <c r="AT264" i="1"/>
  <c r="AQ264" i="1"/>
  <c r="AV264" i="1" s="1"/>
  <c r="AT263" i="1"/>
  <c r="AV263" i="1" s="1"/>
  <c r="AQ263" i="1"/>
  <c r="AT262" i="1"/>
  <c r="AQ262" i="1"/>
  <c r="AT261" i="1"/>
  <c r="AV261" i="1" s="1"/>
  <c r="AQ261" i="1"/>
  <c r="AT260" i="1"/>
  <c r="AQ260" i="1"/>
  <c r="AV260" i="1" s="1"/>
  <c r="AT259" i="1"/>
  <c r="AV259" i="1" s="1"/>
  <c r="AQ259" i="1"/>
  <c r="AT258" i="1"/>
  <c r="AQ258" i="1"/>
  <c r="AV257" i="1"/>
  <c r="AT257" i="1"/>
  <c r="AQ257" i="1"/>
  <c r="AT256" i="1"/>
  <c r="AQ256" i="1"/>
  <c r="AV256" i="1" s="1"/>
  <c r="AT255" i="1"/>
  <c r="AV255" i="1" s="1"/>
  <c r="AQ255" i="1"/>
  <c r="AT254" i="1"/>
  <c r="AQ254" i="1"/>
  <c r="AV254" i="1" s="1"/>
  <c r="AV253" i="1"/>
  <c r="AT253" i="1"/>
  <c r="AQ253" i="1"/>
  <c r="AT252" i="1"/>
  <c r="AQ252" i="1"/>
  <c r="AV252" i="1" s="1"/>
  <c r="AT251" i="1"/>
  <c r="AV251" i="1" s="1"/>
  <c r="AQ251" i="1"/>
  <c r="AT250" i="1"/>
  <c r="AQ250" i="1"/>
  <c r="AT249" i="1"/>
  <c r="AV249" i="1" s="1"/>
  <c r="AQ249" i="1"/>
  <c r="AT248" i="1"/>
  <c r="AQ248" i="1"/>
  <c r="AV248" i="1" s="1"/>
  <c r="AT247" i="1"/>
  <c r="AV247" i="1" s="1"/>
  <c r="AQ247" i="1"/>
  <c r="AT246" i="1"/>
  <c r="AQ246" i="1"/>
  <c r="AV245" i="1"/>
  <c r="AT245" i="1"/>
  <c r="AQ245" i="1"/>
  <c r="AT244" i="1"/>
  <c r="AQ244" i="1"/>
  <c r="AV244" i="1" s="1"/>
  <c r="AT243" i="1"/>
  <c r="AV243" i="1" s="1"/>
  <c r="AQ243" i="1"/>
  <c r="AT242" i="1"/>
  <c r="AQ242" i="1"/>
  <c r="AV242" i="1" s="1"/>
  <c r="AV241" i="1"/>
  <c r="AT241" i="1"/>
  <c r="AQ241" i="1"/>
  <c r="AT240" i="1"/>
  <c r="AQ240" i="1"/>
  <c r="AV240" i="1" s="1"/>
  <c r="AT239" i="1"/>
  <c r="AV239" i="1" s="1"/>
  <c r="AQ239" i="1"/>
  <c r="AT238" i="1"/>
  <c r="AQ238" i="1"/>
  <c r="AT237" i="1"/>
  <c r="AV237" i="1" s="1"/>
  <c r="AQ237" i="1"/>
  <c r="AT236" i="1"/>
  <c r="AQ236" i="1"/>
  <c r="AV236" i="1" s="1"/>
  <c r="AT235" i="1"/>
  <c r="AV235" i="1" s="1"/>
  <c r="AQ235" i="1"/>
  <c r="AT234" i="1"/>
  <c r="AQ234" i="1"/>
  <c r="AV233" i="1"/>
  <c r="AT233" i="1"/>
  <c r="AQ233" i="1"/>
  <c r="AT232" i="1"/>
  <c r="AQ232" i="1"/>
  <c r="AV232" i="1" s="1"/>
  <c r="AT231" i="1"/>
  <c r="AV231" i="1" s="1"/>
  <c r="AQ231" i="1"/>
  <c r="AT230" i="1"/>
  <c r="AQ230" i="1"/>
  <c r="AV230" i="1" s="1"/>
  <c r="AV229" i="1"/>
  <c r="AT229" i="1"/>
  <c r="AQ229" i="1"/>
  <c r="AT228" i="1"/>
  <c r="AQ228" i="1"/>
  <c r="AV228" i="1" s="1"/>
  <c r="AT227" i="1"/>
  <c r="AV227" i="1" s="1"/>
  <c r="AQ227" i="1"/>
  <c r="AT226" i="1"/>
  <c r="AQ226" i="1"/>
  <c r="AT225" i="1"/>
  <c r="AV225" i="1" s="1"/>
  <c r="AQ225" i="1"/>
  <c r="AT224" i="1"/>
  <c r="AQ224" i="1"/>
  <c r="AV224" i="1" s="1"/>
  <c r="AT223" i="1"/>
  <c r="AV223" i="1" s="1"/>
  <c r="AQ223" i="1"/>
  <c r="AT222" i="1"/>
  <c r="AQ222" i="1"/>
  <c r="AV221" i="1"/>
  <c r="AT221" i="1"/>
  <c r="AQ221" i="1"/>
  <c r="AT220" i="1"/>
  <c r="AQ220" i="1"/>
  <c r="AV220" i="1" s="1"/>
  <c r="AT219" i="1"/>
  <c r="AV219" i="1" s="1"/>
  <c r="AQ219" i="1"/>
  <c r="AT218" i="1"/>
  <c r="AQ218" i="1"/>
  <c r="AV218" i="1" s="1"/>
  <c r="AV217" i="1"/>
  <c r="AT217" i="1"/>
  <c r="AQ217" i="1"/>
  <c r="AT216" i="1"/>
  <c r="AQ216" i="1"/>
  <c r="AV216" i="1" s="1"/>
  <c r="AT215" i="1"/>
  <c r="AV215" i="1" s="1"/>
  <c r="AQ215" i="1"/>
  <c r="AT214" i="1"/>
  <c r="AQ214" i="1"/>
  <c r="AT213" i="1"/>
  <c r="AV213" i="1" s="1"/>
  <c r="AQ213" i="1"/>
  <c r="AT212" i="1"/>
  <c r="AQ212" i="1"/>
  <c r="AV212" i="1" s="1"/>
  <c r="AT211" i="1"/>
  <c r="AV211" i="1" s="1"/>
  <c r="AQ211" i="1"/>
  <c r="AT210" i="1"/>
  <c r="AQ210" i="1"/>
  <c r="AV209" i="1"/>
  <c r="AT209" i="1"/>
  <c r="AQ209" i="1"/>
  <c r="AT208" i="1"/>
  <c r="AV208" i="1" s="1"/>
  <c r="AQ208" i="1"/>
  <c r="AT207" i="1"/>
  <c r="AV207" i="1" s="1"/>
  <c r="AQ207" i="1"/>
  <c r="AT206" i="1"/>
  <c r="AV206" i="1" s="1"/>
  <c r="AQ206" i="1"/>
  <c r="AV205" i="1"/>
  <c r="AT205" i="1"/>
  <c r="AQ205" i="1"/>
  <c r="AT204" i="1"/>
  <c r="AV204" i="1" s="1"/>
  <c r="AQ204" i="1"/>
  <c r="AT203" i="1"/>
  <c r="AV203" i="1" s="1"/>
  <c r="AQ203" i="1"/>
  <c r="AT202" i="1"/>
  <c r="AV202" i="1" s="1"/>
  <c r="AQ202" i="1"/>
  <c r="AT201" i="1"/>
  <c r="AV201" i="1" s="1"/>
  <c r="AQ201" i="1"/>
  <c r="AT200" i="1"/>
  <c r="AV200" i="1" s="1"/>
  <c r="AQ200" i="1"/>
  <c r="AT199" i="1"/>
  <c r="AV199" i="1" s="1"/>
  <c r="AQ199" i="1"/>
  <c r="AT198" i="1"/>
  <c r="AV198" i="1" s="1"/>
  <c r="AQ198" i="1"/>
  <c r="AT197" i="1"/>
  <c r="AV197" i="1" s="1"/>
  <c r="AQ197" i="1"/>
  <c r="AT196" i="1"/>
  <c r="AV196" i="1" s="1"/>
  <c r="AQ196" i="1"/>
  <c r="AT195" i="1"/>
  <c r="AV195" i="1" s="1"/>
  <c r="AQ195" i="1"/>
  <c r="AT194" i="1"/>
  <c r="AV194" i="1" s="1"/>
  <c r="AQ194" i="1"/>
  <c r="AT193" i="1"/>
  <c r="AV193" i="1" s="1"/>
  <c r="AQ193" i="1"/>
  <c r="AT192" i="1"/>
  <c r="AV192" i="1" s="1"/>
  <c r="AQ192" i="1"/>
  <c r="AT191" i="1"/>
  <c r="AV191" i="1" s="1"/>
  <c r="AQ191" i="1"/>
  <c r="AT190" i="1"/>
  <c r="AV190" i="1" s="1"/>
  <c r="AQ190" i="1"/>
  <c r="AT189" i="1"/>
  <c r="AQ189" i="1"/>
  <c r="AV189" i="1" s="1"/>
  <c r="AT188" i="1"/>
  <c r="AV188" i="1" s="1"/>
  <c r="AQ188" i="1"/>
  <c r="AT187" i="1"/>
  <c r="AQ187" i="1"/>
  <c r="AV187" i="1" s="1"/>
  <c r="AT186" i="1"/>
  <c r="AV186" i="1" s="1"/>
  <c r="AQ186" i="1"/>
  <c r="AT185" i="1"/>
  <c r="AQ185" i="1"/>
  <c r="AV185" i="1" s="1"/>
  <c r="AT184" i="1"/>
  <c r="AQ184" i="1"/>
  <c r="AV184" i="1" s="1"/>
  <c r="AT183" i="1"/>
  <c r="AQ183" i="1"/>
  <c r="AV183" i="1" s="1"/>
  <c r="AT182" i="1"/>
  <c r="AQ182" i="1"/>
  <c r="AV182" i="1" s="1"/>
  <c r="AT181" i="1"/>
  <c r="AQ181" i="1"/>
  <c r="AV181" i="1" s="1"/>
  <c r="AT180" i="1"/>
  <c r="AQ180" i="1"/>
  <c r="AV180" i="1" s="1"/>
  <c r="AT179" i="1"/>
  <c r="AQ179" i="1"/>
  <c r="AV179" i="1" s="1"/>
  <c r="AT178" i="1"/>
  <c r="AQ178" i="1"/>
  <c r="AV178" i="1" s="1"/>
  <c r="AT177" i="1"/>
  <c r="AQ177" i="1"/>
  <c r="AV177" i="1" s="1"/>
  <c r="AT176" i="1"/>
  <c r="AQ176" i="1"/>
  <c r="AV176" i="1" s="1"/>
  <c r="AT175" i="1"/>
  <c r="AQ175" i="1"/>
  <c r="AV175" i="1" s="1"/>
  <c r="AT174" i="1"/>
  <c r="AQ174" i="1"/>
  <c r="AV174" i="1" s="1"/>
  <c r="AT173" i="1"/>
  <c r="AQ173" i="1"/>
  <c r="AV173" i="1" s="1"/>
  <c r="AT172" i="1"/>
  <c r="AQ172" i="1"/>
  <c r="AV172" i="1" s="1"/>
  <c r="AT171" i="1"/>
  <c r="AQ171" i="1"/>
  <c r="AV171" i="1" s="1"/>
  <c r="AT170" i="1"/>
  <c r="AQ170" i="1"/>
  <c r="AV170" i="1" s="1"/>
  <c r="AT169" i="1"/>
  <c r="AQ169" i="1"/>
  <c r="AV169" i="1" s="1"/>
  <c r="AT168" i="1"/>
  <c r="AQ168" i="1"/>
  <c r="AV168" i="1" s="1"/>
  <c r="AT167" i="1"/>
  <c r="AQ167" i="1"/>
  <c r="AV167" i="1" s="1"/>
  <c r="AT166" i="1"/>
  <c r="AQ166" i="1"/>
  <c r="AV166" i="1" s="1"/>
  <c r="AT165" i="1"/>
  <c r="AQ165" i="1"/>
  <c r="AV165" i="1" s="1"/>
  <c r="AT164" i="1"/>
  <c r="AQ164" i="1"/>
  <c r="AV164" i="1" s="1"/>
  <c r="AT163" i="1"/>
  <c r="AQ163" i="1"/>
  <c r="AV163" i="1" s="1"/>
  <c r="AT162" i="1"/>
  <c r="AQ162" i="1"/>
  <c r="AV162" i="1" s="1"/>
  <c r="AT161" i="1"/>
  <c r="AQ161" i="1"/>
  <c r="AV161" i="1" s="1"/>
  <c r="AT160" i="1"/>
  <c r="AQ160" i="1"/>
  <c r="AV160" i="1" s="1"/>
  <c r="AT159" i="1"/>
  <c r="AQ159" i="1"/>
  <c r="AV159" i="1" s="1"/>
  <c r="AT158" i="1"/>
  <c r="AQ158" i="1"/>
  <c r="AV158" i="1" s="1"/>
  <c r="AT157" i="1"/>
  <c r="AQ157" i="1"/>
  <c r="AV157" i="1" s="1"/>
  <c r="AT156" i="1"/>
  <c r="AQ156" i="1"/>
  <c r="AV156" i="1" s="1"/>
  <c r="AT155" i="1"/>
  <c r="AQ155" i="1"/>
  <c r="AV155" i="1" s="1"/>
  <c r="AT154" i="1"/>
  <c r="AQ154" i="1"/>
  <c r="AV154" i="1" s="1"/>
  <c r="AT153" i="1"/>
  <c r="AQ153" i="1"/>
  <c r="AV153" i="1" s="1"/>
  <c r="AT152" i="1"/>
  <c r="AQ152" i="1"/>
  <c r="AV152" i="1" s="1"/>
  <c r="AT151" i="1"/>
  <c r="AQ151" i="1"/>
  <c r="AV151" i="1" s="1"/>
  <c r="AT150" i="1"/>
  <c r="AQ150" i="1"/>
  <c r="AV150" i="1" s="1"/>
  <c r="AT149" i="1"/>
  <c r="AQ149" i="1"/>
  <c r="AV149" i="1" s="1"/>
  <c r="AT148" i="1"/>
  <c r="AQ148" i="1"/>
  <c r="AV148" i="1" s="1"/>
  <c r="AT147" i="1"/>
  <c r="AQ147" i="1"/>
  <c r="AV147" i="1" s="1"/>
  <c r="AT146" i="1"/>
  <c r="AQ146" i="1"/>
  <c r="AV146" i="1" s="1"/>
  <c r="AT145" i="1"/>
  <c r="AQ145" i="1"/>
  <c r="AV145" i="1" s="1"/>
  <c r="AT144" i="1"/>
  <c r="AQ144" i="1"/>
  <c r="AV144" i="1" s="1"/>
  <c r="AT143" i="1"/>
  <c r="AQ143" i="1"/>
  <c r="AV143" i="1" s="1"/>
  <c r="AT142" i="1"/>
  <c r="AQ142" i="1"/>
  <c r="AV142" i="1" s="1"/>
  <c r="AT141" i="1"/>
  <c r="AQ141" i="1"/>
  <c r="AV141" i="1" s="1"/>
  <c r="AT140" i="1"/>
  <c r="AQ140" i="1"/>
  <c r="AV140" i="1" s="1"/>
  <c r="AT139" i="1"/>
  <c r="AQ139" i="1"/>
  <c r="AV139" i="1" s="1"/>
  <c r="AT138" i="1"/>
  <c r="AQ138" i="1"/>
  <c r="AV138" i="1" s="1"/>
  <c r="AT137" i="1"/>
  <c r="AQ137" i="1"/>
  <c r="AV137" i="1" s="1"/>
  <c r="AT136" i="1"/>
  <c r="AQ136" i="1"/>
  <c r="AV136" i="1" s="1"/>
  <c r="AT135" i="1"/>
  <c r="AQ135" i="1"/>
  <c r="AV135" i="1" s="1"/>
  <c r="AT134" i="1"/>
  <c r="AQ134" i="1"/>
  <c r="AV134" i="1" s="1"/>
  <c r="AT133" i="1"/>
  <c r="AQ133" i="1"/>
  <c r="AV133" i="1" s="1"/>
  <c r="AT132" i="1"/>
  <c r="AQ132" i="1"/>
  <c r="AV132" i="1" s="1"/>
  <c r="AT131" i="1"/>
  <c r="AQ131" i="1"/>
  <c r="AV131" i="1" s="1"/>
  <c r="AT130" i="1"/>
  <c r="AQ130" i="1"/>
  <c r="AV130" i="1" s="1"/>
  <c r="AT129" i="1"/>
  <c r="AQ129" i="1"/>
  <c r="AV129" i="1" s="1"/>
  <c r="AT128" i="1"/>
  <c r="AQ128" i="1"/>
  <c r="AV128" i="1" s="1"/>
  <c r="AT127" i="1"/>
  <c r="AQ127" i="1"/>
  <c r="AV127" i="1" s="1"/>
  <c r="AT126" i="1"/>
  <c r="AQ126" i="1"/>
  <c r="AV126" i="1" s="1"/>
  <c r="AT125" i="1"/>
  <c r="AQ125" i="1"/>
  <c r="AV125" i="1" s="1"/>
  <c r="AT124" i="1"/>
  <c r="AQ124" i="1"/>
  <c r="AV124" i="1" s="1"/>
  <c r="AT123" i="1"/>
  <c r="AQ123" i="1"/>
  <c r="AV123" i="1" s="1"/>
  <c r="AT122" i="1"/>
  <c r="AQ122" i="1"/>
  <c r="AV122" i="1" s="1"/>
  <c r="AT121" i="1"/>
  <c r="AQ121" i="1"/>
  <c r="AV121" i="1" s="1"/>
  <c r="AT120" i="1"/>
  <c r="AQ120" i="1"/>
  <c r="AV120" i="1" s="1"/>
  <c r="AT119" i="1"/>
  <c r="AQ119" i="1"/>
  <c r="AV119" i="1" s="1"/>
  <c r="AT118" i="1"/>
  <c r="AQ118" i="1"/>
  <c r="AV118" i="1" s="1"/>
  <c r="AT117" i="1"/>
  <c r="AQ117" i="1"/>
  <c r="AV117" i="1" s="1"/>
  <c r="AT116" i="1"/>
  <c r="AQ116" i="1"/>
  <c r="AV116" i="1" s="1"/>
  <c r="AT115" i="1"/>
  <c r="AQ115" i="1"/>
  <c r="AV115" i="1" s="1"/>
  <c r="AT114" i="1"/>
  <c r="AQ114" i="1"/>
  <c r="AV114" i="1" s="1"/>
  <c r="AT113" i="1"/>
  <c r="AQ113" i="1"/>
  <c r="AV113" i="1" s="1"/>
  <c r="AT112" i="1"/>
  <c r="AQ112" i="1"/>
  <c r="AV112" i="1" s="1"/>
  <c r="AT111" i="1"/>
  <c r="AQ111" i="1"/>
  <c r="AV111" i="1" s="1"/>
  <c r="AT110" i="1"/>
  <c r="AQ110" i="1"/>
  <c r="AV110" i="1" s="1"/>
  <c r="AT109" i="1"/>
  <c r="AQ109" i="1"/>
  <c r="AV109" i="1" s="1"/>
  <c r="AT108" i="1"/>
  <c r="AQ108" i="1"/>
  <c r="AV108" i="1" s="1"/>
  <c r="AT107" i="1"/>
  <c r="AQ107" i="1"/>
  <c r="AV107" i="1" s="1"/>
  <c r="AT106" i="1"/>
  <c r="AQ106" i="1"/>
  <c r="AV106" i="1" s="1"/>
  <c r="AT105" i="1"/>
  <c r="AQ105" i="1"/>
  <c r="AV105" i="1" s="1"/>
  <c r="AT104" i="1"/>
  <c r="AQ104" i="1"/>
  <c r="AV104" i="1" s="1"/>
  <c r="AT103" i="1"/>
  <c r="AQ103" i="1"/>
  <c r="AV103" i="1" s="1"/>
  <c r="AT102" i="1"/>
  <c r="AQ102" i="1"/>
  <c r="AV102" i="1" s="1"/>
  <c r="AT101" i="1"/>
  <c r="AQ101" i="1"/>
  <c r="AV101" i="1" s="1"/>
  <c r="AT100" i="1"/>
  <c r="AQ100" i="1"/>
  <c r="AV100" i="1" s="1"/>
  <c r="AT99" i="1"/>
  <c r="AQ99" i="1"/>
  <c r="AV99" i="1" s="1"/>
  <c r="AT98" i="1"/>
  <c r="AQ98" i="1"/>
  <c r="AV98" i="1" s="1"/>
  <c r="AT97" i="1"/>
  <c r="AQ97" i="1"/>
  <c r="AV97" i="1" s="1"/>
  <c r="AT96" i="1"/>
  <c r="AQ96" i="1"/>
  <c r="AV96" i="1" s="1"/>
  <c r="AT95" i="1"/>
  <c r="AQ95" i="1"/>
  <c r="AV95" i="1" s="1"/>
  <c r="AT94" i="1"/>
  <c r="AQ94" i="1"/>
  <c r="AV94" i="1" s="1"/>
  <c r="AT93" i="1"/>
  <c r="AQ93" i="1"/>
  <c r="AV93" i="1" s="1"/>
  <c r="AT92" i="1"/>
  <c r="AQ92" i="1"/>
  <c r="AV92" i="1" s="1"/>
  <c r="AT91" i="1"/>
  <c r="AQ91" i="1"/>
  <c r="AV91" i="1" s="1"/>
  <c r="AT90" i="1"/>
  <c r="AQ90" i="1"/>
  <c r="AV90" i="1" s="1"/>
  <c r="AT89" i="1"/>
  <c r="AQ89" i="1"/>
  <c r="AV89" i="1" s="1"/>
  <c r="AT88" i="1"/>
  <c r="AQ88" i="1"/>
  <c r="AV88" i="1" s="1"/>
  <c r="AT87" i="1"/>
  <c r="AQ87" i="1"/>
  <c r="AV87" i="1" s="1"/>
  <c r="AT86" i="1"/>
  <c r="AQ86" i="1"/>
  <c r="AV86" i="1" s="1"/>
  <c r="AT85" i="1"/>
  <c r="AQ85" i="1"/>
  <c r="AV85" i="1" s="1"/>
  <c r="AT84" i="1"/>
  <c r="AQ84" i="1"/>
  <c r="AV84" i="1" s="1"/>
  <c r="AT83" i="1"/>
  <c r="AQ83" i="1"/>
  <c r="AV83" i="1" s="1"/>
  <c r="AT82" i="1"/>
  <c r="AQ82" i="1"/>
  <c r="AV82" i="1" s="1"/>
  <c r="AT81" i="1"/>
  <c r="AQ81" i="1"/>
  <c r="AV81" i="1" s="1"/>
  <c r="AT80" i="1"/>
  <c r="AQ80" i="1"/>
  <c r="AV80" i="1" s="1"/>
  <c r="AT79" i="1"/>
  <c r="AQ79" i="1"/>
  <c r="AV79" i="1" s="1"/>
  <c r="AT78" i="1"/>
  <c r="AQ78" i="1"/>
  <c r="AV78" i="1" s="1"/>
  <c r="AT77" i="1"/>
  <c r="AQ77" i="1"/>
  <c r="AV77" i="1" s="1"/>
  <c r="AT76" i="1"/>
  <c r="AQ76" i="1"/>
  <c r="AV76" i="1" s="1"/>
  <c r="AT75" i="1"/>
  <c r="AQ75" i="1"/>
  <c r="AV75" i="1" s="1"/>
  <c r="AV74" i="1"/>
  <c r="AT74" i="1"/>
  <c r="AQ74" i="1"/>
  <c r="AT73" i="1"/>
  <c r="AQ73" i="1"/>
  <c r="AV73" i="1" s="1"/>
  <c r="AT72" i="1"/>
  <c r="AV72" i="1" s="1"/>
  <c r="AQ72" i="1"/>
  <c r="AT71" i="1"/>
  <c r="AQ71" i="1"/>
  <c r="AV71" i="1" s="1"/>
  <c r="AT70" i="1"/>
  <c r="AV70" i="1" s="1"/>
  <c r="AQ70" i="1"/>
  <c r="AT69" i="1"/>
  <c r="AQ69" i="1"/>
  <c r="AV69" i="1" s="1"/>
  <c r="AT68" i="1"/>
  <c r="AV68" i="1" s="1"/>
  <c r="AQ68" i="1"/>
  <c r="AT67" i="1"/>
  <c r="AQ67" i="1"/>
  <c r="AV67" i="1" s="1"/>
  <c r="AT66" i="1"/>
  <c r="AV66" i="1" s="1"/>
  <c r="AQ66" i="1"/>
  <c r="AT65" i="1"/>
  <c r="AQ65" i="1"/>
  <c r="AV65" i="1" s="1"/>
  <c r="AT64" i="1"/>
  <c r="AV64" i="1" s="1"/>
  <c r="AQ64" i="1"/>
  <c r="AT63" i="1"/>
  <c r="AQ63" i="1"/>
  <c r="AV63" i="1" s="1"/>
  <c r="AT62" i="1"/>
  <c r="AV62" i="1" s="1"/>
  <c r="AQ62" i="1"/>
  <c r="AT61" i="1"/>
  <c r="AQ61" i="1"/>
  <c r="AV61" i="1" s="1"/>
  <c r="AT60" i="1"/>
  <c r="AV60" i="1" s="1"/>
  <c r="AQ60" i="1"/>
  <c r="AT59" i="1"/>
  <c r="AQ59" i="1"/>
  <c r="AV59" i="1" s="1"/>
  <c r="AT58" i="1"/>
  <c r="AV58" i="1" s="1"/>
  <c r="AQ58" i="1"/>
  <c r="AT57" i="1"/>
  <c r="AQ57" i="1"/>
  <c r="AV57" i="1" s="1"/>
  <c r="AT56" i="1"/>
  <c r="AV56" i="1" s="1"/>
  <c r="AQ56" i="1"/>
  <c r="AT55" i="1"/>
  <c r="AQ55" i="1"/>
  <c r="AV55" i="1" s="1"/>
  <c r="AT54" i="1"/>
  <c r="AV54" i="1" s="1"/>
  <c r="AQ54" i="1"/>
  <c r="AT53" i="1"/>
  <c r="AQ53" i="1"/>
  <c r="AV53" i="1" s="1"/>
  <c r="AT52" i="1"/>
  <c r="AV52" i="1" s="1"/>
  <c r="AQ52" i="1"/>
  <c r="AT51" i="1"/>
  <c r="AQ51" i="1"/>
  <c r="AV51" i="1" s="1"/>
  <c r="AT50" i="1"/>
  <c r="AV50" i="1" s="1"/>
  <c r="AQ50" i="1"/>
  <c r="AT49" i="1"/>
  <c r="AQ49" i="1"/>
  <c r="AV49" i="1" s="1"/>
  <c r="AT48" i="1"/>
  <c r="AV48" i="1" s="1"/>
  <c r="AQ48" i="1"/>
  <c r="AT47" i="1"/>
  <c r="AQ47" i="1"/>
  <c r="AV47" i="1" s="1"/>
  <c r="AT46" i="1"/>
  <c r="AV46" i="1" s="1"/>
  <c r="AQ46" i="1"/>
  <c r="AT45" i="1"/>
  <c r="AQ45" i="1"/>
  <c r="AV45" i="1" s="1"/>
  <c r="AT44" i="1"/>
  <c r="AV44" i="1" s="1"/>
  <c r="AQ44" i="1"/>
  <c r="AT43" i="1"/>
  <c r="AQ43" i="1"/>
  <c r="AV43" i="1" s="1"/>
  <c r="AT42" i="1"/>
  <c r="AV42" i="1" s="1"/>
  <c r="AQ42" i="1"/>
  <c r="AT41" i="1"/>
  <c r="AQ41" i="1"/>
  <c r="AV41" i="1" s="1"/>
  <c r="AT40" i="1"/>
  <c r="AV40" i="1" s="1"/>
  <c r="AQ40" i="1"/>
  <c r="AT39" i="1"/>
  <c r="AQ39" i="1"/>
  <c r="AV39" i="1" s="1"/>
  <c r="AT38" i="1"/>
  <c r="AV38" i="1" s="1"/>
  <c r="AQ38" i="1"/>
  <c r="AT37" i="1"/>
  <c r="AQ37" i="1"/>
  <c r="AV37" i="1" s="1"/>
  <c r="AT36" i="1"/>
  <c r="AV36" i="1" s="1"/>
  <c r="AQ36" i="1"/>
  <c r="AT35" i="1"/>
  <c r="AQ35" i="1"/>
  <c r="AV35" i="1" s="1"/>
  <c r="AT34" i="1"/>
  <c r="AV34" i="1" s="1"/>
  <c r="AQ34" i="1"/>
  <c r="AT33" i="1"/>
  <c r="AQ33" i="1"/>
  <c r="AV33" i="1" s="1"/>
  <c r="AT32" i="1"/>
  <c r="AV32" i="1" s="1"/>
  <c r="AQ32" i="1"/>
  <c r="AT31" i="1"/>
  <c r="AQ31" i="1"/>
  <c r="AV31" i="1" s="1"/>
  <c r="AT30" i="1"/>
  <c r="AV30" i="1" s="1"/>
  <c r="AQ30" i="1"/>
  <c r="AT29" i="1"/>
  <c r="AQ29" i="1"/>
  <c r="AV29" i="1" s="1"/>
  <c r="AT28" i="1"/>
  <c r="AV28" i="1" s="1"/>
  <c r="AQ28" i="1"/>
  <c r="AT27" i="1"/>
  <c r="AQ27" i="1"/>
  <c r="AV27" i="1" s="1"/>
  <c r="AT26" i="1"/>
  <c r="AV26" i="1" s="1"/>
  <c r="AQ26" i="1"/>
  <c r="AT25" i="1"/>
  <c r="AQ25" i="1"/>
  <c r="AV25" i="1" s="1"/>
  <c r="AT24" i="1"/>
  <c r="AV24" i="1" s="1"/>
  <c r="AQ24" i="1"/>
  <c r="AT23" i="1"/>
  <c r="AQ23" i="1"/>
  <c r="AV23" i="1" s="1"/>
  <c r="AT22" i="1"/>
  <c r="AV22" i="1" s="1"/>
  <c r="AQ22" i="1"/>
  <c r="AT21" i="1"/>
  <c r="AQ21" i="1"/>
  <c r="AV21" i="1" s="1"/>
  <c r="AT20" i="1"/>
  <c r="AV20" i="1" s="1"/>
  <c r="AQ20" i="1"/>
  <c r="AT19" i="1"/>
  <c r="AQ19" i="1"/>
  <c r="AV19" i="1" s="1"/>
  <c r="AT18" i="1"/>
  <c r="AV18" i="1" s="1"/>
  <c r="AQ18" i="1"/>
  <c r="AT17" i="1"/>
  <c r="AQ17" i="1"/>
  <c r="AV17" i="1" s="1"/>
  <c r="AT16" i="1"/>
  <c r="AV16" i="1" s="1"/>
  <c r="AQ16" i="1"/>
  <c r="AT15" i="1"/>
  <c r="AQ15" i="1"/>
  <c r="AV15" i="1" s="1"/>
  <c r="AT14" i="1"/>
  <c r="AV14" i="1" s="1"/>
  <c r="AQ14" i="1"/>
  <c r="AT13" i="1"/>
  <c r="AQ13" i="1"/>
  <c r="AV13" i="1" s="1"/>
  <c r="AT12" i="1"/>
  <c r="AV12" i="1" s="1"/>
  <c r="AQ12" i="1"/>
  <c r="AT11" i="1"/>
  <c r="AQ11" i="1"/>
  <c r="AV11" i="1" s="1"/>
  <c r="AT10" i="1"/>
  <c r="AV10" i="1" s="1"/>
  <c r="AQ10" i="1"/>
  <c r="AT9" i="1"/>
  <c r="AQ9" i="1"/>
  <c r="AV9" i="1" s="1"/>
  <c r="AT8" i="1"/>
  <c r="AV8" i="1" s="1"/>
  <c r="AQ8" i="1"/>
  <c r="AT7" i="1"/>
  <c r="AQ7" i="1"/>
  <c r="AV7" i="1" s="1"/>
  <c r="AT6" i="1"/>
  <c r="AV6" i="1" s="1"/>
  <c r="AQ6" i="1"/>
  <c r="AT5" i="1"/>
  <c r="AQ5" i="1"/>
  <c r="AV5" i="1" s="1"/>
  <c r="AT4" i="1"/>
  <c r="AV4" i="1" s="1"/>
  <c r="AQ4" i="1"/>
  <c r="AH370" i="1"/>
  <c r="AK370" i="1" s="1"/>
  <c r="AH369" i="1"/>
  <c r="AK369" i="1" s="1"/>
  <c r="AK368" i="1"/>
  <c r="AH368" i="1"/>
  <c r="AH367" i="1"/>
  <c r="AK367" i="1" s="1"/>
  <c r="AH366" i="1"/>
  <c r="AK366" i="1" s="1"/>
  <c r="AK365" i="1"/>
  <c r="AH365" i="1"/>
  <c r="AH364" i="1"/>
  <c r="AK364" i="1" s="1"/>
  <c r="AH363" i="1"/>
  <c r="AK363" i="1" s="1"/>
  <c r="AK362" i="1"/>
  <c r="AH362" i="1"/>
  <c r="AH361" i="1"/>
  <c r="AK361" i="1" s="1"/>
  <c r="AH360" i="1"/>
  <c r="AK360" i="1" s="1"/>
  <c r="AK359" i="1"/>
  <c r="AH359" i="1"/>
  <c r="AH358" i="1"/>
  <c r="AK358" i="1" s="1"/>
  <c r="AH357" i="1"/>
  <c r="AK357" i="1" s="1"/>
  <c r="AK356" i="1"/>
  <c r="AH356" i="1"/>
  <c r="AH355" i="1"/>
  <c r="AK355" i="1" s="1"/>
  <c r="AH354" i="1"/>
  <c r="AK354" i="1" s="1"/>
  <c r="AK353" i="1"/>
  <c r="AH353" i="1"/>
  <c r="AH352" i="1"/>
  <c r="AK352" i="1" s="1"/>
  <c r="AH351" i="1"/>
  <c r="AK351" i="1" s="1"/>
  <c r="AK350" i="1"/>
  <c r="AH350" i="1"/>
  <c r="AH349" i="1"/>
  <c r="AK349" i="1" s="1"/>
  <c r="AH348" i="1"/>
  <c r="AK348" i="1" s="1"/>
  <c r="AK347" i="1"/>
  <c r="AH347" i="1"/>
  <c r="AH346" i="1"/>
  <c r="AK346" i="1" s="1"/>
  <c r="AH345" i="1"/>
  <c r="AK345" i="1" s="1"/>
  <c r="AK344" i="1"/>
  <c r="AH344" i="1"/>
  <c r="AH343" i="1"/>
  <c r="AK343" i="1" s="1"/>
  <c r="AH342" i="1"/>
  <c r="AK342" i="1" s="1"/>
  <c r="AK341" i="1"/>
  <c r="AH341" i="1"/>
  <c r="AH340" i="1"/>
  <c r="AK340" i="1" s="1"/>
  <c r="AH339" i="1"/>
  <c r="AK339" i="1" s="1"/>
  <c r="AK338" i="1"/>
  <c r="AH338" i="1"/>
  <c r="AH337" i="1"/>
  <c r="AK337" i="1" s="1"/>
  <c r="AH336" i="1"/>
  <c r="AK336" i="1" s="1"/>
  <c r="AK335" i="1"/>
  <c r="AH335" i="1"/>
  <c r="AH334" i="1"/>
  <c r="AK334" i="1" s="1"/>
  <c r="AH333" i="1"/>
  <c r="AK333" i="1" s="1"/>
  <c r="AK332" i="1"/>
  <c r="AH332" i="1"/>
  <c r="AH331" i="1"/>
  <c r="AK331" i="1" s="1"/>
  <c r="AH330" i="1"/>
  <c r="AK330" i="1" s="1"/>
  <c r="AK329" i="1"/>
  <c r="AH329" i="1"/>
  <c r="AH328" i="1"/>
  <c r="AK328" i="1" s="1"/>
  <c r="AH327" i="1"/>
  <c r="AK327" i="1" s="1"/>
  <c r="AK326" i="1"/>
  <c r="AH326" i="1"/>
  <c r="AH325" i="1"/>
  <c r="AK325" i="1" s="1"/>
  <c r="AH324" i="1"/>
  <c r="AK324" i="1" s="1"/>
  <c r="AK323" i="1"/>
  <c r="AH323" i="1"/>
  <c r="AH322" i="1"/>
  <c r="AK322" i="1" s="1"/>
  <c r="AH321" i="1"/>
  <c r="AK321" i="1" s="1"/>
  <c r="AK320" i="1"/>
  <c r="AH320" i="1"/>
  <c r="AH319" i="1"/>
  <c r="AK319" i="1" s="1"/>
  <c r="AH318" i="1"/>
  <c r="AK318" i="1" s="1"/>
  <c r="AK317" i="1"/>
  <c r="AH317" i="1"/>
  <c r="AH316" i="1"/>
  <c r="AK316" i="1" s="1"/>
  <c r="AH315" i="1"/>
  <c r="AK315" i="1" s="1"/>
  <c r="AK314" i="1"/>
  <c r="AH314" i="1"/>
  <c r="AH313" i="1"/>
  <c r="AK313" i="1" s="1"/>
  <c r="AH312" i="1"/>
  <c r="AK312" i="1" s="1"/>
  <c r="AK311" i="1"/>
  <c r="AH311" i="1"/>
  <c r="AH310" i="1"/>
  <c r="AK310" i="1" s="1"/>
  <c r="AH309" i="1"/>
  <c r="AK309" i="1" s="1"/>
  <c r="AK308" i="1"/>
  <c r="AH308" i="1"/>
  <c r="AH307" i="1"/>
  <c r="AK307" i="1" s="1"/>
  <c r="AH306" i="1"/>
  <c r="AK306" i="1" s="1"/>
  <c r="AK305" i="1"/>
  <c r="AH305" i="1"/>
  <c r="AH304" i="1"/>
  <c r="AK304" i="1" s="1"/>
  <c r="AH303" i="1"/>
  <c r="AK303" i="1" s="1"/>
  <c r="AK302" i="1"/>
  <c r="AH302" i="1"/>
  <c r="AH301" i="1"/>
  <c r="AK301" i="1" s="1"/>
  <c r="AH300" i="1"/>
  <c r="AK300" i="1" s="1"/>
  <c r="AK299" i="1"/>
  <c r="AH299" i="1"/>
  <c r="AH298" i="1"/>
  <c r="AK298" i="1" s="1"/>
  <c r="AH297" i="1"/>
  <c r="AK297" i="1" s="1"/>
  <c r="AK296" i="1"/>
  <c r="AH296" i="1"/>
  <c r="AH295" i="1"/>
  <c r="AK295" i="1" s="1"/>
  <c r="AH294" i="1"/>
  <c r="AK294" i="1" s="1"/>
  <c r="AK293" i="1"/>
  <c r="AH293" i="1"/>
  <c r="AH292" i="1"/>
  <c r="AK292" i="1" s="1"/>
  <c r="AH291" i="1"/>
  <c r="AK291" i="1" s="1"/>
  <c r="AK290" i="1"/>
  <c r="AH290" i="1"/>
  <c r="AH289" i="1"/>
  <c r="AK289" i="1" s="1"/>
  <c r="AH288" i="1"/>
  <c r="AK288" i="1" s="1"/>
  <c r="AK287" i="1"/>
  <c r="AH287" i="1"/>
  <c r="AH286" i="1"/>
  <c r="AK286" i="1" s="1"/>
  <c r="AH285" i="1"/>
  <c r="AK285" i="1" s="1"/>
  <c r="AK284" i="1"/>
  <c r="AH284" i="1"/>
  <c r="AH283" i="1"/>
  <c r="AK283" i="1" s="1"/>
  <c r="AH282" i="1"/>
  <c r="AK282" i="1" s="1"/>
  <c r="AK281" i="1"/>
  <c r="AH281" i="1"/>
  <c r="AH280" i="1"/>
  <c r="AK280" i="1" s="1"/>
  <c r="AH279" i="1"/>
  <c r="AK279" i="1" s="1"/>
  <c r="AK278" i="1"/>
  <c r="AH278" i="1"/>
  <c r="AH277" i="1"/>
  <c r="AK277" i="1" s="1"/>
  <c r="AH276" i="1"/>
  <c r="AK276" i="1" s="1"/>
  <c r="AK275" i="1"/>
  <c r="AH275" i="1"/>
  <c r="AH274" i="1"/>
  <c r="AK274" i="1" s="1"/>
  <c r="AH273" i="1"/>
  <c r="AK273" i="1" s="1"/>
  <c r="AK272" i="1"/>
  <c r="AH272" i="1"/>
  <c r="AH271" i="1"/>
  <c r="AK271" i="1" s="1"/>
  <c r="AK270" i="1"/>
  <c r="AH270" i="1"/>
  <c r="AK269" i="1"/>
  <c r="AH269" i="1"/>
  <c r="AH268" i="1"/>
  <c r="AK268" i="1" s="1"/>
  <c r="AK267" i="1"/>
  <c r="AH267" i="1"/>
  <c r="AK266" i="1"/>
  <c r="AH266" i="1"/>
  <c r="AH265" i="1"/>
  <c r="AK265" i="1" s="1"/>
  <c r="AK264" i="1"/>
  <c r="AH264" i="1"/>
  <c r="AK263" i="1"/>
  <c r="AH263" i="1"/>
  <c r="AH262" i="1"/>
  <c r="AK262" i="1" s="1"/>
  <c r="AK261" i="1"/>
  <c r="AH261" i="1"/>
  <c r="AK260" i="1"/>
  <c r="AH260" i="1"/>
  <c r="AH259" i="1"/>
  <c r="AK259" i="1" s="1"/>
  <c r="AK258" i="1"/>
  <c r="AH258" i="1"/>
  <c r="AK257" i="1"/>
  <c r="AH257" i="1"/>
  <c r="AH256" i="1"/>
  <c r="AK256" i="1" s="1"/>
  <c r="AK255" i="1"/>
  <c r="AH255" i="1"/>
  <c r="AK254" i="1"/>
  <c r="AH254" i="1"/>
  <c r="AH253" i="1"/>
  <c r="AK253" i="1" s="1"/>
  <c r="AK252" i="1"/>
  <c r="AH252" i="1"/>
  <c r="AK251" i="1"/>
  <c r="AH251" i="1"/>
  <c r="AH250" i="1"/>
  <c r="AK250" i="1" s="1"/>
  <c r="AK249" i="1"/>
  <c r="AH249" i="1"/>
  <c r="AK248" i="1"/>
  <c r="AH248" i="1"/>
  <c r="AH247" i="1"/>
  <c r="AK247" i="1" s="1"/>
  <c r="AK246" i="1"/>
  <c r="AH246" i="1"/>
  <c r="AK245" i="1"/>
  <c r="AH245" i="1"/>
  <c r="AH244" i="1"/>
  <c r="AK244" i="1" s="1"/>
  <c r="AK243" i="1"/>
  <c r="AH243" i="1"/>
  <c r="AK242" i="1"/>
  <c r="AH242" i="1"/>
  <c r="AH241" i="1"/>
  <c r="AK241" i="1" s="1"/>
  <c r="AK240" i="1"/>
  <c r="AH240" i="1"/>
  <c r="AK239" i="1"/>
  <c r="AH239" i="1"/>
  <c r="AH238" i="1"/>
  <c r="AK238" i="1" s="1"/>
  <c r="AK237" i="1"/>
  <c r="AH237" i="1"/>
  <c r="AK236" i="1"/>
  <c r="AH236" i="1"/>
  <c r="AH235" i="1"/>
  <c r="AK235" i="1" s="1"/>
  <c r="AK234" i="1"/>
  <c r="AH234" i="1"/>
  <c r="AK233" i="1"/>
  <c r="AH233" i="1"/>
  <c r="AH232" i="1"/>
  <c r="AK232" i="1" s="1"/>
  <c r="AK231" i="1"/>
  <c r="AH231" i="1"/>
  <c r="AK230" i="1"/>
  <c r="AH230" i="1"/>
  <c r="AH229" i="1"/>
  <c r="AK229" i="1" s="1"/>
  <c r="AK228" i="1"/>
  <c r="AH228" i="1"/>
  <c r="AK227" i="1"/>
  <c r="AH227" i="1"/>
  <c r="AH226" i="1"/>
  <c r="AK226" i="1" s="1"/>
  <c r="AK225" i="1"/>
  <c r="AH225" i="1"/>
  <c r="AK224" i="1"/>
  <c r="AH224" i="1"/>
  <c r="AH223" i="1"/>
  <c r="AK223" i="1" s="1"/>
  <c r="AK222" i="1"/>
  <c r="AH222" i="1"/>
  <c r="AK221" i="1"/>
  <c r="AH221" i="1"/>
  <c r="AH220" i="1"/>
  <c r="AK220" i="1" s="1"/>
  <c r="AK219" i="1"/>
  <c r="AH219" i="1"/>
  <c r="AK218" i="1"/>
  <c r="AH218" i="1"/>
  <c r="AH217" i="1"/>
  <c r="AK217" i="1" s="1"/>
  <c r="AK216" i="1"/>
  <c r="AH216" i="1"/>
  <c r="AK215" i="1"/>
  <c r="AH215" i="1"/>
  <c r="AH214" i="1"/>
  <c r="AK214" i="1" s="1"/>
  <c r="AK213" i="1"/>
  <c r="AH213" i="1"/>
  <c r="AK212" i="1"/>
  <c r="AH212" i="1"/>
  <c r="AH211" i="1"/>
  <c r="AK211" i="1" s="1"/>
  <c r="AK210" i="1"/>
  <c r="AH210" i="1"/>
  <c r="AK209" i="1"/>
  <c r="AH209" i="1"/>
  <c r="AH208" i="1"/>
  <c r="AK208" i="1" s="1"/>
  <c r="AH207" i="1"/>
  <c r="AK207" i="1" s="1"/>
  <c r="AK206" i="1"/>
  <c r="AH206" i="1"/>
  <c r="AH205" i="1"/>
  <c r="AK205" i="1" s="1"/>
  <c r="AH204" i="1"/>
  <c r="AK204" i="1" s="1"/>
  <c r="AK203" i="1"/>
  <c r="AH203" i="1"/>
  <c r="AH202" i="1"/>
  <c r="AK202" i="1" s="1"/>
  <c r="AH201" i="1"/>
  <c r="AK201" i="1" s="1"/>
  <c r="AK200" i="1"/>
  <c r="AH200" i="1"/>
  <c r="AH199" i="1"/>
  <c r="AK199" i="1" s="1"/>
  <c r="AH198" i="1"/>
  <c r="AK198" i="1" s="1"/>
  <c r="AK197" i="1"/>
  <c r="AH197" i="1"/>
  <c r="AH196" i="1"/>
  <c r="AK196" i="1" s="1"/>
  <c r="AH195" i="1"/>
  <c r="AK195" i="1" s="1"/>
  <c r="AK194" i="1"/>
  <c r="AH194" i="1"/>
  <c r="AH193" i="1"/>
  <c r="AK193" i="1" s="1"/>
  <c r="AH192" i="1"/>
  <c r="AK192" i="1" s="1"/>
  <c r="AK191" i="1"/>
  <c r="AH191" i="1"/>
  <c r="AH190" i="1"/>
  <c r="AK190" i="1" s="1"/>
  <c r="AH189" i="1"/>
  <c r="AK189" i="1" s="1"/>
  <c r="AK188" i="1"/>
  <c r="AH188" i="1"/>
  <c r="AH187" i="1"/>
  <c r="AK187" i="1" s="1"/>
  <c r="AH186" i="1"/>
  <c r="AK186" i="1" s="1"/>
  <c r="AK185" i="1"/>
  <c r="AH185" i="1"/>
  <c r="AH184" i="1"/>
  <c r="AK184" i="1" s="1"/>
  <c r="AH183" i="1"/>
  <c r="AK183" i="1" s="1"/>
  <c r="AK182" i="1"/>
  <c r="AH182" i="1"/>
  <c r="AH181" i="1"/>
  <c r="AK181" i="1" s="1"/>
  <c r="AH180" i="1"/>
  <c r="AK180" i="1" s="1"/>
  <c r="AK179" i="1"/>
  <c r="AH179" i="1"/>
  <c r="AH178" i="1"/>
  <c r="AK178" i="1" s="1"/>
  <c r="AH177" i="1"/>
  <c r="AK177" i="1" s="1"/>
  <c r="AK176" i="1"/>
  <c r="AH176" i="1"/>
  <c r="AH175" i="1"/>
  <c r="AK175" i="1" s="1"/>
  <c r="AH174" i="1"/>
  <c r="AK174" i="1" s="1"/>
  <c r="AK173" i="1"/>
  <c r="AH173" i="1"/>
  <c r="AH172" i="1"/>
  <c r="AK172" i="1" s="1"/>
  <c r="AH171" i="1"/>
  <c r="AK171" i="1" s="1"/>
  <c r="AK170" i="1"/>
  <c r="AH170" i="1"/>
  <c r="AH169" i="1"/>
  <c r="AK169" i="1" s="1"/>
  <c r="AH168" i="1"/>
  <c r="AK168" i="1" s="1"/>
  <c r="AK167" i="1"/>
  <c r="AH167" i="1"/>
  <c r="AH166" i="1"/>
  <c r="AK166" i="1" s="1"/>
  <c r="AH165" i="1"/>
  <c r="AK165" i="1" s="1"/>
  <c r="AK164" i="1"/>
  <c r="AH164" i="1"/>
  <c r="AH163" i="1"/>
  <c r="AK163" i="1" s="1"/>
  <c r="AH162" i="1"/>
  <c r="AK162" i="1" s="1"/>
  <c r="AK161" i="1"/>
  <c r="AH161" i="1"/>
  <c r="AH160" i="1"/>
  <c r="AK160" i="1" s="1"/>
  <c r="AH159" i="1"/>
  <c r="AK159" i="1" s="1"/>
  <c r="AK158" i="1"/>
  <c r="AH158" i="1"/>
  <c r="AH157" i="1"/>
  <c r="AK157" i="1" s="1"/>
  <c r="AK156" i="1"/>
  <c r="AH156" i="1"/>
  <c r="AK155" i="1"/>
  <c r="AH155" i="1"/>
  <c r="AH154" i="1"/>
  <c r="AK154" i="1" s="1"/>
  <c r="AK153" i="1"/>
  <c r="AH153" i="1"/>
  <c r="AK152" i="1"/>
  <c r="AH152" i="1"/>
  <c r="AH151" i="1"/>
  <c r="AK151" i="1" s="1"/>
  <c r="AH150" i="1"/>
  <c r="AK150" i="1" s="1"/>
  <c r="AK149" i="1"/>
  <c r="AH149" i="1"/>
  <c r="AH148" i="1"/>
  <c r="AK148" i="1" s="1"/>
  <c r="AH147" i="1"/>
  <c r="AK147" i="1" s="1"/>
  <c r="AK146" i="1"/>
  <c r="AH146" i="1"/>
  <c r="AH145" i="1"/>
  <c r="AK145" i="1" s="1"/>
  <c r="AH144" i="1"/>
  <c r="AK144" i="1" s="1"/>
  <c r="AK143" i="1"/>
  <c r="AH143" i="1"/>
  <c r="AH142" i="1"/>
  <c r="AK142" i="1" s="1"/>
  <c r="AH141" i="1"/>
  <c r="AK141" i="1" s="1"/>
  <c r="AK140" i="1"/>
  <c r="AH140" i="1"/>
  <c r="AH139" i="1"/>
  <c r="AK139" i="1" s="1"/>
  <c r="AH138" i="1"/>
  <c r="AK138" i="1" s="1"/>
  <c r="AK137" i="1"/>
  <c r="AH137" i="1"/>
  <c r="AH136" i="1"/>
  <c r="AK136" i="1" s="1"/>
  <c r="AH135" i="1"/>
  <c r="AK135" i="1" s="1"/>
  <c r="AK134" i="1"/>
  <c r="AH134" i="1"/>
  <c r="AH133" i="1"/>
  <c r="AK133" i="1" s="1"/>
  <c r="AH132" i="1"/>
  <c r="AK132" i="1" s="1"/>
  <c r="AK131" i="1"/>
  <c r="AH131" i="1"/>
  <c r="AH130" i="1"/>
  <c r="AK130" i="1" s="1"/>
  <c r="AH129" i="1"/>
  <c r="AK129" i="1" s="1"/>
  <c r="AH128" i="1"/>
  <c r="AK128" i="1" s="1"/>
  <c r="AH127" i="1"/>
  <c r="AK127" i="1" s="1"/>
  <c r="AH126" i="1"/>
  <c r="AK126" i="1" s="1"/>
  <c r="AH125" i="1"/>
  <c r="AK125" i="1" s="1"/>
  <c r="AH124" i="1"/>
  <c r="AK124" i="1" s="1"/>
  <c r="AH123" i="1"/>
  <c r="AK123" i="1" s="1"/>
  <c r="AK122" i="1"/>
  <c r="AH122" i="1"/>
  <c r="AH121" i="1"/>
  <c r="AK121" i="1" s="1"/>
  <c r="AH120" i="1"/>
  <c r="AK120" i="1" s="1"/>
  <c r="AK119" i="1"/>
  <c r="AH119" i="1"/>
  <c r="AH118" i="1"/>
  <c r="AK118" i="1" s="1"/>
  <c r="AH117" i="1"/>
  <c r="AK117" i="1" s="1"/>
  <c r="AH116" i="1"/>
  <c r="AK116" i="1" s="1"/>
  <c r="AK115" i="1"/>
  <c r="AH115" i="1"/>
  <c r="AH114" i="1"/>
  <c r="AK114" i="1" s="1"/>
  <c r="AH113" i="1"/>
  <c r="AK113" i="1" s="1"/>
  <c r="AK112" i="1"/>
  <c r="AH112" i="1"/>
  <c r="AH111" i="1"/>
  <c r="AK111" i="1" s="1"/>
  <c r="AH110" i="1"/>
  <c r="AK110" i="1" s="1"/>
  <c r="AK109" i="1"/>
  <c r="AH109" i="1"/>
  <c r="AH108" i="1"/>
  <c r="AK108" i="1" s="1"/>
  <c r="AH107" i="1"/>
  <c r="AK107" i="1" s="1"/>
  <c r="AK106" i="1"/>
  <c r="AH106" i="1"/>
  <c r="AH105" i="1"/>
  <c r="AK105" i="1" s="1"/>
  <c r="AH104" i="1"/>
  <c r="AK104" i="1" s="1"/>
  <c r="AK103" i="1"/>
  <c r="AH103" i="1"/>
  <c r="AH102" i="1"/>
  <c r="AK102" i="1" s="1"/>
  <c r="AH101" i="1"/>
  <c r="AK101" i="1" s="1"/>
  <c r="AK100" i="1"/>
  <c r="AH100" i="1"/>
  <c r="AH99" i="1"/>
  <c r="AK99" i="1" s="1"/>
  <c r="AH98" i="1"/>
  <c r="AK98" i="1" s="1"/>
  <c r="AK97" i="1"/>
  <c r="AH97" i="1"/>
  <c r="AH96" i="1"/>
  <c r="AK96" i="1" s="1"/>
  <c r="AH95" i="1"/>
  <c r="AK95" i="1" s="1"/>
  <c r="AK94" i="1"/>
  <c r="AH94" i="1"/>
  <c r="AH93" i="1"/>
  <c r="AK93" i="1" s="1"/>
  <c r="AH92" i="1"/>
  <c r="AK92" i="1" s="1"/>
  <c r="AK91" i="1"/>
  <c r="AH91" i="1"/>
  <c r="AH90" i="1"/>
  <c r="AK90" i="1" s="1"/>
  <c r="AH89" i="1"/>
  <c r="AK89" i="1" s="1"/>
  <c r="AK88" i="1"/>
  <c r="AH88" i="1"/>
  <c r="AH87" i="1"/>
  <c r="AK87" i="1" s="1"/>
  <c r="AH86" i="1"/>
  <c r="AK86" i="1" s="1"/>
  <c r="AK85" i="1"/>
  <c r="AH85" i="1"/>
  <c r="AH84" i="1"/>
  <c r="AK84" i="1" s="1"/>
  <c r="AH83" i="1"/>
  <c r="AK83" i="1" s="1"/>
  <c r="AK82" i="1"/>
  <c r="AH82" i="1"/>
  <c r="AH81" i="1"/>
  <c r="AK81" i="1" s="1"/>
  <c r="AH80" i="1"/>
  <c r="AK80" i="1" s="1"/>
  <c r="AK79" i="1"/>
  <c r="AH79" i="1"/>
  <c r="AH78" i="1"/>
  <c r="AK78" i="1" s="1"/>
  <c r="AH77" i="1"/>
  <c r="AK77" i="1" s="1"/>
  <c r="AK76" i="1"/>
  <c r="AH76" i="1"/>
  <c r="AH75" i="1"/>
  <c r="AK75" i="1" s="1"/>
  <c r="AH74" i="1"/>
  <c r="AK74" i="1" s="1"/>
  <c r="AK73" i="1"/>
  <c r="AH73" i="1"/>
  <c r="AH72" i="1"/>
  <c r="AK72" i="1" s="1"/>
  <c r="AH71" i="1"/>
  <c r="AK71" i="1" s="1"/>
  <c r="AK70" i="1"/>
  <c r="AH70" i="1"/>
  <c r="AH69" i="1"/>
  <c r="AK69" i="1" s="1"/>
  <c r="AH68" i="1"/>
  <c r="AK68" i="1" s="1"/>
  <c r="AK67" i="1"/>
  <c r="AH67" i="1"/>
  <c r="AH66" i="1"/>
  <c r="AK66" i="1" s="1"/>
  <c r="AH65" i="1"/>
  <c r="AK65" i="1" s="1"/>
  <c r="AK64" i="1"/>
  <c r="AH64" i="1"/>
  <c r="AH63" i="1"/>
  <c r="AK63" i="1" s="1"/>
  <c r="AH62" i="1"/>
  <c r="AK62" i="1" s="1"/>
  <c r="AK61" i="1"/>
  <c r="AH61" i="1"/>
  <c r="AH60" i="1"/>
  <c r="AK60" i="1" s="1"/>
  <c r="AH59" i="1"/>
  <c r="AK59" i="1" s="1"/>
  <c r="AK58" i="1"/>
  <c r="AH58" i="1"/>
  <c r="AH57" i="1"/>
  <c r="AK57" i="1" s="1"/>
  <c r="AH56" i="1"/>
  <c r="AK56" i="1" s="1"/>
  <c r="AK55" i="1"/>
  <c r="AH55" i="1"/>
  <c r="AH54" i="1"/>
  <c r="AK54" i="1" s="1"/>
  <c r="AH53" i="1"/>
  <c r="AK53" i="1" s="1"/>
  <c r="AK52" i="1"/>
  <c r="AH52" i="1"/>
  <c r="AH51" i="1"/>
  <c r="AK51" i="1" s="1"/>
  <c r="AH50" i="1"/>
  <c r="AK50" i="1" s="1"/>
  <c r="AK49" i="1"/>
  <c r="AH49" i="1"/>
  <c r="AH48" i="1"/>
  <c r="AK48" i="1" s="1"/>
  <c r="AH47" i="1"/>
  <c r="AK47" i="1" s="1"/>
  <c r="AK46" i="1"/>
  <c r="AH46" i="1"/>
  <c r="AH45" i="1"/>
  <c r="AK45" i="1" s="1"/>
  <c r="AH44" i="1"/>
  <c r="AK44" i="1" s="1"/>
  <c r="AK43" i="1"/>
  <c r="AH43" i="1"/>
  <c r="AH42" i="1"/>
  <c r="AK42" i="1" s="1"/>
  <c r="AH41" i="1"/>
  <c r="AK41" i="1" s="1"/>
  <c r="AK40" i="1"/>
  <c r="AH40" i="1"/>
  <c r="AH39" i="1"/>
  <c r="AK39" i="1" s="1"/>
  <c r="AH38" i="1"/>
  <c r="AK38" i="1" s="1"/>
  <c r="AK37" i="1"/>
  <c r="AH37" i="1"/>
  <c r="AH36" i="1"/>
  <c r="AK36" i="1" s="1"/>
  <c r="AH35" i="1"/>
  <c r="AK35" i="1" s="1"/>
  <c r="AK34" i="1"/>
  <c r="AH34" i="1"/>
  <c r="AH33" i="1"/>
  <c r="AK33" i="1" s="1"/>
  <c r="AH32" i="1"/>
  <c r="AK32" i="1" s="1"/>
  <c r="AK31" i="1"/>
  <c r="AH31" i="1"/>
  <c r="AH30" i="1"/>
  <c r="AK30" i="1" s="1"/>
  <c r="AH29" i="1"/>
  <c r="AK29" i="1" s="1"/>
  <c r="AK28" i="1"/>
  <c r="AH28" i="1"/>
  <c r="AH27" i="1"/>
  <c r="AK27" i="1" s="1"/>
  <c r="AH26" i="1"/>
  <c r="AK26" i="1" s="1"/>
  <c r="AK25" i="1"/>
  <c r="AH25" i="1"/>
  <c r="AH24" i="1"/>
  <c r="AK24" i="1" s="1"/>
  <c r="AH23" i="1"/>
  <c r="AK23" i="1" s="1"/>
  <c r="AK22" i="1"/>
  <c r="AH22" i="1"/>
  <c r="AH21" i="1"/>
  <c r="AK21" i="1" s="1"/>
  <c r="AH20" i="1"/>
  <c r="AK20" i="1" s="1"/>
  <c r="AK19" i="1"/>
  <c r="AH19" i="1"/>
  <c r="AH18" i="1"/>
  <c r="AK18" i="1" s="1"/>
  <c r="AH17" i="1"/>
  <c r="AK17" i="1" s="1"/>
  <c r="AK16" i="1"/>
  <c r="AH16" i="1"/>
  <c r="AH15" i="1"/>
  <c r="AK15" i="1" s="1"/>
  <c r="AH14" i="1"/>
  <c r="AK14" i="1" s="1"/>
  <c r="AK13" i="1"/>
  <c r="AH13" i="1"/>
  <c r="AH12" i="1"/>
  <c r="AK12" i="1" s="1"/>
  <c r="AH11" i="1"/>
  <c r="AK11" i="1" s="1"/>
  <c r="AK10" i="1"/>
  <c r="AH10" i="1"/>
  <c r="AH9" i="1"/>
  <c r="AK9" i="1" s="1"/>
  <c r="AH8" i="1"/>
  <c r="AK8" i="1" s="1"/>
  <c r="AK7" i="1"/>
  <c r="AH7" i="1"/>
  <c r="AH6" i="1"/>
  <c r="AK6" i="1" s="1"/>
  <c r="AH5" i="1"/>
  <c r="AK5" i="1" s="1"/>
  <c r="AK4" i="1"/>
  <c r="AH4" i="1"/>
  <c r="AB370" i="1"/>
  <c r="Y369" i="1"/>
  <c r="AB369" i="1" s="1"/>
  <c r="Y368" i="1"/>
  <c r="AB368" i="1" s="1"/>
  <c r="Y367" i="1"/>
  <c r="AB367" i="1" s="1"/>
  <c r="Y366" i="1"/>
  <c r="AB366" i="1" s="1"/>
  <c r="Y365" i="1"/>
  <c r="AB365" i="1" s="1"/>
  <c r="Y364" i="1"/>
  <c r="AB364" i="1" s="1"/>
  <c r="Y363" i="1"/>
  <c r="AB363" i="1" s="1"/>
  <c r="Y362" i="1"/>
  <c r="AB362" i="1" s="1"/>
  <c r="Y361" i="1"/>
  <c r="AB361" i="1" s="1"/>
  <c r="AB360" i="1"/>
  <c r="Y360" i="1"/>
  <c r="Y359" i="1"/>
  <c r="AB359" i="1" s="1"/>
  <c r="Y358" i="1"/>
  <c r="AB358" i="1" s="1"/>
  <c r="Y357" i="1"/>
  <c r="AB357" i="1" s="1"/>
  <c r="Y356" i="1"/>
  <c r="AB356" i="1" s="1"/>
  <c r="Y355" i="1"/>
  <c r="AB355" i="1" s="1"/>
  <c r="Y354" i="1"/>
  <c r="AB354" i="1" s="1"/>
  <c r="AB353" i="1"/>
  <c r="Y353" i="1"/>
  <c r="Y352" i="1"/>
  <c r="AB352" i="1" s="1"/>
  <c r="Y351" i="1"/>
  <c r="AB351" i="1" s="1"/>
  <c r="Y350" i="1"/>
  <c r="AB350" i="1" s="1"/>
  <c r="Y349" i="1"/>
  <c r="AB349" i="1" s="1"/>
  <c r="Y348" i="1"/>
  <c r="AB348" i="1" s="1"/>
  <c r="Y347" i="1"/>
  <c r="AB347" i="1" s="1"/>
  <c r="Y346" i="1"/>
  <c r="AB346" i="1" s="1"/>
  <c r="Y345" i="1"/>
  <c r="AB345" i="1" s="1"/>
  <c r="Y344" i="1"/>
  <c r="AB344" i="1" s="1"/>
  <c r="Y343" i="1"/>
  <c r="AB343" i="1" s="1"/>
  <c r="AB342" i="1"/>
  <c r="Y342" i="1"/>
  <c r="Y341" i="1"/>
  <c r="AB341" i="1" s="1"/>
  <c r="Y340" i="1"/>
  <c r="AB340" i="1" s="1"/>
  <c r="Y339" i="1"/>
  <c r="AB339" i="1" s="1"/>
  <c r="Y338" i="1"/>
  <c r="AB338" i="1" s="1"/>
  <c r="Y337" i="1"/>
  <c r="AB337" i="1" s="1"/>
  <c r="Y336" i="1"/>
  <c r="AB336" i="1" s="1"/>
  <c r="AB335" i="1"/>
  <c r="Y335" i="1"/>
  <c r="Y334" i="1"/>
  <c r="AB334" i="1" s="1"/>
  <c r="Y333" i="1"/>
  <c r="AB333" i="1" s="1"/>
  <c r="Y332" i="1"/>
  <c r="AB332" i="1" s="1"/>
  <c r="Y331" i="1"/>
  <c r="AB331" i="1" s="1"/>
  <c r="Y330" i="1"/>
  <c r="AB330" i="1" s="1"/>
  <c r="Y329" i="1"/>
  <c r="AB329" i="1" s="1"/>
  <c r="Y328" i="1"/>
  <c r="AB328" i="1" s="1"/>
  <c r="Y327" i="1"/>
  <c r="AB327" i="1" s="1"/>
  <c r="Y326" i="1"/>
  <c r="AB326" i="1" s="1"/>
  <c r="Y325" i="1"/>
  <c r="AB325" i="1" s="1"/>
  <c r="AB324" i="1"/>
  <c r="Y324" i="1"/>
  <c r="Y323" i="1"/>
  <c r="AB323" i="1" s="1"/>
  <c r="Y322" i="1"/>
  <c r="AB322" i="1" s="1"/>
  <c r="Y321" i="1"/>
  <c r="AB321" i="1" s="1"/>
  <c r="Y320" i="1"/>
  <c r="AB320" i="1" s="1"/>
  <c r="Y319" i="1"/>
  <c r="AB319" i="1" s="1"/>
  <c r="Y318" i="1"/>
  <c r="AB318" i="1" s="1"/>
  <c r="AB317" i="1"/>
  <c r="Y317" i="1"/>
  <c r="Y316" i="1"/>
  <c r="AB316" i="1" s="1"/>
  <c r="Y315" i="1"/>
  <c r="AB315" i="1" s="1"/>
  <c r="Y314" i="1"/>
  <c r="AB314" i="1" s="1"/>
  <c r="Y313" i="1"/>
  <c r="AB313" i="1" s="1"/>
  <c r="Y312" i="1"/>
  <c r="AB312" i="1" s="1"/>
  <c r="Y311" i="1"/>
  <c r="AB311" i="1" s="1"/>
  <c r="Y310" i="1"/>
  <c r="AB310" i="1" s="1"/>
  <c r="Y309" i="1"/>
  <c r="AB309" i="1" s="1"/>
  <c r="Y308" i="1"/>
  <c r="AB308" i="1" s="1"/>
  <c r="Y307" i="1"/>
  <c r="AB307" i="1" s="1"/>
  <c r="AB306" i="1"/>
  <c r="Y306" i="1"/>
  <c r="Y305" i="1"/>
  <c r="AB305" i="1" s="1"/>
  <c r="Y304" i="1"/>
  <c r="AB304" i="1" s="1"/>
  <c r="Y303" i="1"/>
  <c r="AB303" i="1" s="1"/>
  <c r="Y302" i="1"/>
  <c r="AB302" i="1" s="1"/>
  <c r="Y301" i="1"/>
  <c r="AB301" i="1" s="1"/>
  <c r="Y300" i="1"/>
  <c r="AB300" i="1" s="1"/>
  <c r="AB299" i="1"/>
  <c r="Y299" i="1"/>
  <c r="Y298" i="1"/>
  <c r="AB298" i="1" s="1"/>
  <c r="Y297" i="1"/>
  <c r="AB297" i="1" s="1"/>
  <c r="Y296" i="1"/>
  <c r="AB296" i="1" s="1"/>
  <c r="Y295" i="1"/>
  <c r="AB295" i="1" s="1"/>
  <c r="Y294" i="1"/>
  <c r="AB294" i="1" s="1"/>
  <c r="Y293" i="1"/>
  <c r="AB293" i="1" s="1"/>
  <c r="Y292" i="1"/>
  <c r="AB292" i="1" s="1"/>
  <c r="Y291" i="1"/>
  <c r="AB291" i="1" s="1"/>
  <c r="Y290" i="1"/>
  <c r="AB290" i="1" s="1"/>
  <c r="Y289" i="1"/>
  <c r="AB289" i="1" s="1"/>
  <c r="AB288" i="1"/>
  <c r="Y288" i="1"/>
  <c r="Y287" i="1"/>
  <c r="AB287" i="1" s="1"/>
  <c r="Y286" i="1"/>
  <c r="AB286" i="1" s="1"/>
  <c r="Y285" i="1"/>
  <c r="AB285" i="1" s="1"/>
  <c r="Y284" i="1"/>
  <c r="AB284" i="1" s="1"/>
  <c r="Y283" i="1"/>
  <c r="AB283" i="1" s="1"/>
  <c r="Y282" i="1"/>
  <c r="AB282" i="1" s="1"/>
  <c r="AB281" i="1"/>
  <c r="Y281" i="1"/>
  <c r="Y280" i="1"/>
  <c r="AB280" i="1" s="1"/>
  <c r="Y279" i="1"/>
  <c r="AB279" i="1" s="1"/>
  <c r="Y278" i="1"/>
  <c r="AB278" i="1" s="1"/>
  <c r="Y277" i="1"/>
  <c r="AB277" i="1" s="1"/>
  <c r="Y276" i="1"/>
  <c r="AB276" i="1" s="1"/>
  <c r="Y275" i="1"/>
  <c r="AB275" i="1" s="1"/>
  <c r="Y274" i="1"/>
  <c r="AB274" i="1" s="1"/>
  <c r="Y273" i="1"/>
  <c r="AB273" i="1" s="1"/>
  <c r="Y272" i="1"/>
  <c r="AB272" i="1" s="1"/>
  <c r="Y271" i="1"/>
  <c r="AB271" i="1" s="1"/>
  <c r="AB270" i="1"/>
  <c r="Y270" i="1"/>
  <c r="Y269" i="1"/>
  <c r="AB269" i="1" s="1"/>
  <c r="Y268" i="1"/>
  <c r="AB268" i="1" s="1"/>
  <c r="Y267" i="1"/>
  <c r="AB267" i="1" s="1"/>
  <c r="Y266" i="1"/>
  <c r="AB266" i="1" s="1"/>
  <c r="Y265" i="1"/>
  <c r="AB265" i="1" s="1"/>
  <c r="Y264" i="1"/>
  <c r="AB264" i="1" s="1"/>
  <c r="AB263" i="1"/>
  <c r="Y263" i="1"/>
  <c r="Y262" i="1"/>
  <c r="AB262" i="1" s="1"/>
  <c r="Y261" i="1"/>
  <c r="AB261" i="1" s="1"/>
  <c r="Y260" i="1"/>
  <c r="AB260" i="1" s="1"/>
  <c r="Y259" i="1"/>
  <c r="AB259" i="1" s="1"/>
  <c r="Y258" i="1"/>
  <c r="AB258" i="1" s="1"/>
  <c r="Y257" i="1"/>
  <c r="AB257" i="1" s="1"/>
  <c r="Y256" i="1"/>
  <c r="AB256" i="1" s="1"/>
  <c r="Y255" i="1"/>
  <c r="AB255" i="1" s="1"/>
  <c r="Y254" i="1"/>
  <c r="AB254" i="1" s="1"/>
  <c r="Y253" i="1"/>
  <c r="AB253" i="1" s="1"/>
  <c r="AB252" i="1"/>
  <c r="Y252" i="1"/>
  <c r="Y251" i="1"/>
  <c r="AB251" i="1" s="1"/>
  <c r="Y250" i="1"/>
  <c r="AB250" i="1" s="1"/>
  <c r="Y249" i="1"/>
  <c r="AB249" i="1" s="1"/>
  <c r="Y248" i="1"/>
  <c r="AB248" i="1" s="1"/>
  <c r="Y247" i="1"/>
  <c r="AB247" i="1" s="1"/>
  <c r="Y246" i="1"/>
  <c r="AB246" i="1" s="1"/>
  <c r="AB245" i="1"/>
  <c r="Y245" i="1"/>
  <c r="Y244" i="1"/>
  <c r="AB244" i="1" s="1"/>
  <c r="Y243" i="1"/>
  <c r="AB243" i="1" s="1"/>
  <c r="Y242" i="1"/>
  <c r="AB242" i="1" s="1"/>
  <c r="Y241" i="1"/>
  <c r="AB241" i="1" s="1"/>
  <c r="Y240" i="1"/>
  <c r="AB240" i="1" s="1"/>
  <c r="Y239" i="1"/>
  <c r="AB239" i="1" s="1"/>
  <c r="Y238" i="1"/>
  <c r="AB238" i="1" s="1"/>
  <c r="Y237" i="1"/>
  <c r="AB237" i="1" s="1"/>
  <c r="Y236" i="1"/>
  <c r="AB236" i="1" s="1"/>
  <c r="Y235" i="1"/>
  <c r="AB235" i="1" s="1"/>
  <c r="AB234" i="1"/>
  <c r="Y234" i="1"/>
  <c r="Y233" i="1"/>
  <c r="AB233" i="1" s="1"/>
  <c r="Y232" i="1"/>
  <c r="AB232" i="1" s="1"/>
  <c r="Y231" i="1"/>
  <c r="AB231" i="1" s="1"/>
  <c r="Y230" i="1"/>
  <c r="AB230" i="1" s="1"/>
  <c r="Y229" i="1"/>
  <c r="AB229" i="1" s="1"/>
  <c r="Y228" i="1"/>
  <c r="AB228" i="1" s="1"/>
  <c r="AB227" i="1"/>
  <c r="Y227" i="1"/>
  <c r="Y226" i="1"/>
  <c r="AB226" i="1" s="1"/>
  <c r="Y225" i="1"/>
  <c r="AB225" i="1" s="1"/>
  <c r="Y224" i="1"/>
  <c r="AB224" i="1" s="1"/>
  <c r="Y223" i="1"/>
  <c r="AB223" i="1" s="1"/>
  <c r="Y222" i="1"/>
  <c r="AB222" i="1" s="1"/>
  <c r="Y221" i="1"/>
  <c r="AB221" i="1" s="1"/>
  <c r="Y220" i="1"/>
  <c r="AB220" i="1" s="1"/>
  <c r="Y219" i="1"/>
  <c r="AB219" i="1" s="1"/>
  <c r="Y218" i="1"/>
  <c r="AB218" i="1" s="1"/>
  <c r="Y217" i="1"/>
  <c r="AB217" i="1" s="1"/>
  <c r="AB216" i="1"/>
  <c r="Y216" i="1"/>
  <c r="Y215" i="1"/>
  <c r="AB215" i="1" s="1"/>
  <c r="Y214" i="1"/>
  <c r="AB214" i="1" s="1"/>
  <c r="Y213" i="1"/>
  <c r="AB213" i="1" s="1"/>
  <c r="Y212" i="1"/>
  <c r="AB212" i="1" s="1"/>
  <c r="Y211" i="1"/>
  <c r="AB211" i="1" s="1"/>
  <c r="Y210" i="1"/>
  <c r="AB210" i="1" s="1"/>
  <c r="AB209" i="1"/>
  <c r="Y209" i="1"/>
  <c r="Y208" i="1"/>
  <c r="AB208" i="1" s="1"/>
  <c r="Y207" i="1"/>
  <c r="AB207" i="1" s="1"/>
  <c r="Y206" i="1"/>
  <c r="AB206" i="1" s="1"/>
  <c r="Y205" i="1"/>
  <c r="AB205" i="1" s="1"/>
  <c r="Y204" i="1"/>
  <c r="AB204" i="1" s="1"/>
  <c r="Y203" i="1"/>
  <c r="AB203" i="1" s="1"/>
  <c r="Y202" i="1"/>
  <c r="AB202" i="1" s="1"/>
  <c r="Y201" i="1"/>
  <c r="AB201" i="1" s="1"/>
  <c r="Y200" i="1"/>
  <c r="AB200" i="1" s="1"/>
  <c r="Y199" i="1"/>
  <c r="AB199" i="1" s="1"/>
  <c r="AB198" i="1"/>
  <c r="Y198" i="1"/>
  <c r="Y197" i="1"/>
  <c r="AB197" i="1" s="1"/>
  <c r="Y196" i="1"/>
  <c r="AB196" i="1" s="1"/>
  <c r="Y195" i="1"/>
  <c r="AB195" i="1" s="1"/>
  <c r="Y194" i="1"/>
  <c r="AB194" i="1" s="1"/>
  <c r="Y193" i="1"/>
  <c r="AB193" i="1" s="1"/>
  <c r="Y192" i="1"/>
  <c r="AB192" i="1" s="1"/>
  <c r="AB191" i="1"/>
  <c r="Y191" i="1"/>
  <c r="Y190" i="1"/>
  <c r="AB190" i="1" s="1"/>
  <c r="Y189" i="1"/>
  <c r="AB189" i="1" s="1"/>
  <c r="Y188" i="1"/>
  <c r="AB188" i="1" s="1"/>
  <c r="Y187" i="1"/>
  <c r="AB187" i="1" s="1"/>
  <c r="Y186" i="1"/>
  <c r="AB186" i="1" s="1"/>
  <c r="Y185" i="1"/>
  <c r="AB185" i="1" s="1"/>
  <c r="Y184" i="1"/>
  <c r="AB184" i="1" s="1"/>
  <c r="Y183" i="1"/>
  <c r="AB183" i="1" s="1"/>
  <c r="Y182" i="1"/>
  <c r="AB182" i="1" s="1"/>
  <c r="Y181" i="1"/>
  <c r="AB181" i="1" s="1"/>
  <c r="AB180" i="1"/>
  <c r="Y180" i="1"/>
  <c r="Y179" i="1"/>
  <c r="AB179" i="1" s="1"/>
  <c r="Y178" i="1"/>
  <c r="AB178" i="1" s="1"/>
  <c r="Y177" i="1"/>
  <c r="AB177" i="1" s="1"/>
  <c r="Y176" i="1"/>
  <c r="AB176" i="1" s="1"/>
  <c r="Y175" i="1"/>
  <c r="AB175" i="1" s="1"/>
  <c r="Y174" i="1"/>
  <c r="AB174" i="1" s="1"/>
  <c r="AB173" i="1"/>
  <c r="Y173" i="1"/>
  <c r="Y172" i="1"/>
  <c r="AB172" i="1" s="1"/>
  <c r="Y171" i="1"/>
  <c r="AB171" i="1" s="1"/>
  <c r="Y170" i="1"/>
  <c r="AB170" i="1" s="1"/>
  <c r="Y169" i="1"/>
  <c r="AB169" i="1" s="1"/>
  <c r="Y168" i="1"/>
  <c r="AB168" i="1" s="1"/>
  <c r="Y167" i="1"/>
  <c r="AB167" i="1" s="1"/>
  <c r="Y166" i="1"/>
  <c r="AB166" i="1" s="1"/>
  <c r="Y165" i="1"/>
  <c r="AB165" i="1" s="1"/>
  <c r="Y164" i="1"/>
  <c r="AB164" i="1" s="1"/>
  <c r="Y163" i="1"/>
  <c r="AB163" i="1" s="1"/>
  <c r="AB162" i="1"/>
  <c r="Y162" i="1"/>
  <c r="Y161" i="1"/>
  <c r="AB161" i="1" s="1"/>
  <c r="Y160" i="1"/>
  <c r="AB160" i="1" s="1"/>
  <c r="Y159" i="1"/>
  <c r="AB159" i="1" s="1"/>
  <c r="Y158" i="1"/>
  <c r="AB158" i="1" s="1"/>
  <c r="Y157" i="1"/>
  <c r="AB157" i="1" s="1"/>
  <c r="Y156" i="1"/>
  <c r="AB156" i="1" s="1"/>
  <c r="AB155" i="1"/>
  <c r="Y155" i="1"/>
  <c r="Y154" i="1"/>
  <c r="AB154" i="1" s="1"/>
  <c r="Y153" i="1"/>
  <c r="AB153" i="1" s="1"/>
  <c r="Y152" i="1"/>
  <c r="AB152" i="1" s="1"/>
  <c r="Y151" i="1"/>
  <c r="AB151" i="1" s="1"/>
  <c r="Y150" i="1"/>
  <c r="AB150" i="1" s="1"/>
  <c r="Y149" i="1"/>
  <c r="AB149" i="1" s="1"/>
  <c r="Y148" i="1"/>
  <c r="AB148" i="1" s="1"/>
  <c r="Y147" i="1"/>
  <c r="AB147" i="1" s="1"/>
  <c r="Y146" i="1"/>
  <c r="AB146" i="1" s="1"/>
  <c r="Y145" i="1"/>
  <c r="AB145" i="1" s="1"/>
  <c r="AB144" i="1"/>
  <c r="Y144" i="1"/>
  <c r="Y143" i="1"/>
  <c r="AB143" i="1" s="1"/>
  <c r="Y142" i="1"/>
  <c r="AB142" i="1" s="1"/>
  <c r="Y141" i="1"/>
  <c r="AB141" i="1" s="1"/>
  <c r="Y140" i="1"/>
  <c r="AB140" i="1" s="1"/>
  <c r="Y139" i="1"/>
  <c r="AB139" i="1" s="1"/>
  <c r="Y138" i="1"/>
  <c r="AB138" i="1" s="1"/>
  <c r="AB137" i="1"/>
  <c r="Y137" i="1"/>
  <c r="Y136" i="1"/>
  <c r="AB136" i="1" s="1"/>
  <c r="Y135" i="1"/>
  <c r="AB135" i="1" s="1"/>
  <c r="Y134" i="1"/>
  <c r="AB134" i="1" s="1"/>
  <c r="Y133" i="1"/>
  <c r="AB133" i="1" s="1"/>
  <c r="Y132" i="1"/>
  <c r="AB132" i="1" s="1"/>
  <c r="Y131" i="1"/>
  <c r="AB131" i="1" s="1"/>
  <c r="Y130" i="1"/>
  <c r="AB130" i="1" s="1"/>
  <c r="Y129" i="1"/>
  <c r="AB129" i="1" s="1"/>
  <c r="Y128" i="1"/>
  <c r="AB128" i="1" s="1"/>
  <c r="Y127" i="1"/>
  <c r="AB127" i="1" s="1"/>
  <c r="AB126" i="1"/>
  <c r="Y126" i="1"/>
  <c r="Y125" i="1"/>
  <c r="AB125" i="1" s="1"/>
  <c r="Y124" i="1"/>
  <c r="AB124" i="1" s="1"/>
  <c r="Y123" i="1"/>
  <c r="AB123" i="1" s="1"/>
  <c r="Y122" i="1"/>
  <c r="AB122" i="1" s="1"/>
  <c r="Y121" i="1"/>
  <c r="AB121" i="1" s="1"/>
  <c r="Y120" i="1"/>
  <c r="AB120" i="1" s="1"/>
  <c r="AB119" i="1"/>
  <c r="Y119" i="1"/>
  <c r="Y118" i="1"/>
  <c r="AB118" i="1" s="1"/>
  <c r="Y117" i="1"/>
  <c r="AB117" i="1" s="1"/>
  <c r="Y116" i="1"/>
  <c r="AB116" i="1" s="1"/>
  <c r="Y115" i="1"/>
  <c r="AB115" i="1" s="1"/>
  <c r="Y114" i="1"/>
  <c r="AB114" i="1" s="1"/>
  <c r="Y113" i="1"/>
  <c r="AB113" i="1" s="1"/>
  <c r="AB112" i="1"/>
  <c r="Y112" i="1"/>
  <c r="Y111" i="1"/>
  <c r="AB111" i="1" s="1"/>
  <c r="Y110" i="1"/>
  <c r="AB110" i="1" s="1"/>
  <c r="AB109" i="1"/>
  <c r="Y109" i="1"/>
  <c r="Y108" i="1"/>
  <c r="AB108" i="1" s="1"/>
  <c r="Y107" i="1"/>
  <c r="AB107" i="1" s="1"/>
  <c r="AB106" i="1"/>
  <c r="Y106" i="1"/>
  <c r="Y105" i="1"/>
  <c r="AB105" i="1" s="1"/>
  <c r="Y104" i="1"/>
  <c r="AB104" i="1" s="1"/>
  <c r="AB103" i="1"/>
  <c r="Y103" i="1"/>
  <c r="Y102" i="1"/>
  <c r="AB102" i="1" s="1"/>
  <c r="Y101" i="1"/>
  <c r="AB101" i="1" s="1"/>
  <c r="AB100" i="1"/>
  <c r="Y100" i="1"/>
  <c r="Y99" i="1"/>
  <c r="AB99" i="1" s="1"/>
  <c r="Y98" i="1"/>
  <c r="AB98" i="1" s="1"/>
  <c r="AB97" i="1"/>
  <c r="Y97" i="1"/>
  <c r="Y96" i="1"/>
  <c r="AB96" i="1" s="1"/>
  <c r="Y95" i="1"/>
  <c r="AB95" i="1" s="1"/>
  <c r="AB94" i="1"/>
  <c r="Y94" i="1"/>
  <c r="Y93" i="1"/>
  <c r="AB93" i="1" s="1"/>
  <c r="Y92" i="1"/>
  <c r="AB92" i="1" s="1"/>
  <c r="AB91" i="1"/>
  <c r="Y91" i="1"/>
  <c r="Y90" i="1"/>
  <c r="AB90" i="1" s="1"/>
  <c r="Y89" i="1"/>
  <c r="AB89" i="1" s="1"/>
  <c r="AB88" i="1"/>
  <c r="Y88" i="1"/>
  <c r="Y87" i="1"/>
  <c r="AB87" i="1" s="1"/>
  <c r="Y86" i="1"/>
  <c r="AB86" i="1" s="1"/>
  <c r="AB85" i="1"/>
  <c r="Y85" i="1"/>
  <c r="Y84" i="1"/>
  <c r="AB84" i="1" s="1"/>
  <c r="Y83" i="1"/>
  <c r="AB83" i="1" s="1"/>
  <c r="AB82" i="1"/>
  <c r="Y82" i="1"/>
  <c r="Y81" i="1"/>
  <c r="AB81" i="1" s="1"/>
  <c r="Y80" i="1"/>
  <c r="AB80" i="1" s="1"/>
  <c r="AB79" i="1"/>
  <c r="Y79" i="1"/>
  <c r="Y78" i="1"/>
  <c r="AB78" i="1" s="1"/>
  <c r="Y77" i="1"/>
  <c r="AB77" i="1" s="1"/>
  <c r="AB76" i="1"/>
  <c r="Y76" i="1"/>
  <c r="Y75" i="1"/>
  <c r="AB75" i="1" s="1"/>
  <c r="Y74" i="1"/>
  <c r="AB74" i="1" s="1"/>
  <c r="AB73" i="1"/>
  <c r="Y73" i="1"/>
  <c r="Y72" i="1"/>
  <c r="AB72" i="1" s="1"/>
  <c r="Y71" i="1"/>
  <c r="AB71" i="1" s="1"/>
  <c r="AB70" i="1"/>
  <c r="Y70" i="1"/>
  <c r="Y69" i="1"/>
  <c r="AB69" i="1" s="1"/>
  <c r="Y68" i="1"/>
  <c r="AB68" i="1" s="1"/>
  <c r="AB67" i="1"/>
  <c r="Y67" i="1"/>
  <c r="Y66" i="1"/>
  <c r="AB66" i="1" s="1"/>
  <c r="Y65" i="1"/>
  <c r="AB65" i="1" s="1"/>
  <c r="AB64" i="1"/>
  <c r="Y64" i="1"/>
  <c r="Y63" i="1"/>
  <c r="AB63" i="1" s="1"/>
  <c r="Y62" i="1"/>
  <c r="AB62" i="1" s="1"/>
  <c r="AB61" i="1"/>
  <c r="Y61" i="1"/>
  <c r="Y60" i="1"/>
  <c r="AB60" i="1" s="1"/>
  <c r="Y59" i="1"/>
  <c r="AB59" i="1" s="1"/>
  <c r="AB58" i="1"/>
  <c r="Y58" i="1"/>
  <c r="Y57" i="1"/>
  <c r="AB57" i="1" s="1"/>
  <c r="Y56" i="1"/>
  <c r="AB56" i="1" s="1"/>
  <c r="AB55" i="1"/>
  <c r="Y55" i="1"/>
  <c r="Y54" i="1"/>
  <c r="AB54" i="1" s="1"/>
  <c r="Y53" i="1"/>
  <c r="AB53" i="1" s="1"/>
  <c r="AB52" i="1"/>
  <c r="Y52" i="1"/>
  <c r="Y51" i="1"/>
  <c r="AB51" i="1" s="1"/>
  <c r="Y50" i="1"/>
  <c r="AB50" i="1" s="1"/>
  <c r="AB49" i="1"/>
  <c r="Y49" i="1"/>
  <c r="Y48" i="1"/>
  <c r="AB48" i="1" s="1"/>
  <c r="Y47" i="1"/>
  <c r="AB47" i="1" s="1"/>
  <c r="AB46" i="1"/>
  <c r="Y46" i="1"/>
  <c r="Y45" i="1"/>
  <c r="AB45" i="1" s="1"/>
  <c r="Y44" i="1"/>
  <c r="AB44" i="1" s="1"/>
  <c r="AB43" i="1"/>
  <c r="Y43" i="1"/>
  <c r="Y42" i="1"/>
  <c r="AB42" i="1" s="1"/>
  <c r="Y41" i="1"/>
  <c r="AB41" i="1" s="1"/>
  <c r="AB40" i="1"/>
  <c r="Y40" i="1"/>
  <c r="Y39" i="1"/>
  <c r="AB39" i="1" s="1"/>
  <c r="Y38" i="1"/>
  <c r="AB38" i="1" s="1"/>
  <c r="AB37" i="1"/>
  <c r="Y37" i="1"/>
  <c r="Y36" i="1"/>
  <c r="AB36" i="1" s="1"/>
  <c r="Y35" i="1"/>
  <c r="AB35" i="1" s="1"/>
  <c r="AB34" i="1"/>
  <c r="Y34" i="1"/>
  <c r="Y33" i="1"/>
  <c r="AB33" i="1" s="1"/>
  <c r="Y32" i="1"/>
  <c r="AB32" i="1" s="1"/>
  <c r="AB31" i="1"/>
  <c r="Y31" i="1"/>
  <c r="Y30" i="1"/>
  <c r="AB30" i="1" s="1"/>
  <c r="Y29" i="1"/>
  <c r="AB29" i="1" s="1"/>
  <c r="AB28" i="1"/>
  <c r="Y28" i="1"/>
  <c r="Y27" i="1"/>
  <c r="AB27" i="1" s="1"/>
  <c r="Y26" i="1"/>
  <c r="AB26" i="1" s="1"/>
  <c r="AB25" i="1"/>
  <c r="Y25" i="1"/>
  <c r="Y24" i="1"/>
  <c r="AB24" i="1" s="1"/>
  <c r="Y23" i="1"/>
  <c r="AB23" i="1" s="1"/>
  <c r="AB22" i="1"/>
  <c r="Y22" i="1"/>
  <c r="Y21" i="1"/>
  <c r="AB21" i="1" s="1"/>
  <c r="Y20" i="1"/>
  <c r="AB20" i="1" s="1"/>
  <c r="AB19" i="1"/>
  <c r="Y19" i="1"/>
  <c r="Y18" i="1"/>
  <c r="AB18" i="1" s="1"/>
  <c r="Y17" i="1"/>
  <c r="AB17" i="1" s="1"/>
  <c r="AB16" i="1"/>
  <c r="Y16" i="1"/>
  <c r="Y15" i="1"/>
  <c r="AB15" i="1" s="1"/>
  <c r="Y14" i="1"/>
  <c r="AB14" i="1" s="1"/>
  <c r="AB13" i="1"/>
  <c r="Y13" i="1"/>
  <c r="Y12" i="1"/>
  <c r="AB12" i="1" s="1"/>
  <c r="Y11" i="1"/>
  <c r="AB11" i="1" s="1"/>
  <c r="AB10" i="1"/>
  <c r="Y10" i="1"/>
  <c r="Y9" i="1"/>
  <c r="AB9" i="1" s="1"/>
  <c r="Y8" i="1"/>
  <c r="AB8" i="1" s="1"/>
  <c r="AB7" i="1"/>
  <c r="Y7" i="1"/>
  <c r="Y6" i="1"/>
  <c r="AB6" i="1" s="1"/>
  <c r="Y5" i="1"/>
  <c r="AB5" i="1" s="1"/>
  <c r="AB4" i="1"/>
  <c r="Q369" i="1"/>
  <c r="S369" i="1" s="1"/>
  <c r="Q368" i="1"/>
  <c r="S368" i="1" s="1"/>
  <c r="S367" i="1"/>
  <c r="Q367" i="1"/>
  <c r="S366" i="1"/>
  <c r="Q366" i="1"/>
  <c r="S365" i="1"/>
  <c r="Q365" i="1"/>
  <c r="S364" i="1"/>
  <c r="Q364" i="1"/>
  <c r="S363" i="1"/>
  <c r="Q363" i="1"/>
  <c r="S362" i="1"/>
  <c r="Q362" i="1"/>
  <c r="S361" i="1"/>
  <c r="Q361" i="1"/>
  <c r="S360" i="1"/>
  <c r="Q360" i="1"/>
  <c r="S359" i="1"/>
  <c r="Q359" i="1"/>
  <c r="S358" i="1"/>
  <c r="Q358" i="1"/>
  <c r="S357" i="1"/>
  <c r="Q357" i="1"/>
  <c r="S356" i="1"/>
  <c r="Q356" i="1"/>
  <c r="S355" i="1"/>
  <c r="Q355" i="1"/>
  <c r="S354" i="1"/>
  <c r="Q354" i="1"/>
  <c r="S353" i="1"/>
  <c r="Q353" i="1"/>
  <c r="S352" i="1"/>
  <c r="Q352" i="1"/>
  <c r="S351" i="1"/>
  <c r="Q351" i="1"/>
  <c r="S350" i="1"/>
  <c r="Q350" i="1"/>
  <c r="S349" i="1"/>
  <c r="Q349" i="1"/>
  <c r="S348" i="1"/>
  <c r="Q348" i="1"/>
  <c r="S347" i="1"/>
  <c r="Q347" i="1"/>
  <c r="S346" i="1"/>
  <c r="Q346" i="1"/>
  <c r="S345" i="1"/>
  <c r="Q345" i="1"/>
  <c r="S344" i="1"/>
  <c r="Q344" i="1"/>
  <c r="S343" i="1"/>
  <c r="Q343" i="1"/>
  <c r="S342" i="1"/>
  <c r="Q342" i="1"/>
  <c r="S341" i="1"/>
  <c r="Q341" i="1"/>
  <c r="S340" i="1"/>
  <c r="Q340" i="1"/>
  <c r="S339" i="1"/>
  <c r="Q339" i="1"/>
  <c r="S338" i="1"/>
  <c r="Q338" i="1"/>
  <c r="S337" i="1"/>
  <c r="Q337" i="1"/>
  <c r="S336" i="1"/>
  <c r="Q336" i="1"/>
  <c r="S335" i="1"/>
  <c r="Q335" i="1"/>
  <c r="S334" i="1"/>
  <c r="Q334" i="1"/>
  <c r="S333" i="1"/>
  <c r="Q333" i="1"/>
  <c r="S332" i="1"/>
  <c r="Q332" i="1"/>
  <c r="S331" i="1"/>
  <c r="Q331" i="1"/>
  <c r="S330" i="1"/>
  <c r="Q330" i="1"/>
  <c r="S329" i="1"/>
  <c r="Q329" i="1"/>
  <c r="S328" i="1"/>
  <c r="Q328" i="1"/>
  <c r="S327" i="1"/>
  <c r="Q327" i="1"/>
  <c r="S326" i="1"/>
  <c r="Q326" i="1"/>
  <c r="S325" i="1"/>
  <c r="Q325" i="1"/>
  <c r="S324" i="1"/>
  <c r="Q324" i="1"/>
  <c r="S323" i="1"/>
  <c r="Q323" i="1"/>
  <c r="S322" i="1"/>
  <c r="Q322" i="1"/>
  <c r="S321" i="1"/>
  <c r="Q321" i="1"/>
  <c r="S320" i="1"/>
  <c r="Q320" i="1"/>
  <c r="S319" i="1"/>
  <c r="Q319" i="1"/>
  <c r="S318" i="1"/>
  <c r="Q318" i="1"/>
  <c r="S317" i="1"/>
  <c r="Q317" i="1"/>
  <c r="S316" i="1"/>
  <c r="Q316" i="1"/>
  <c r="S315" i="1"/>
  <c r="Q315" i="1"/>
  <c r="S314" i="1"/>
  <c r="Q314" i="1"/>
  <c r="S313" i="1"/>
  <c r="Q313" i="1"/>
  <c r="S312" i="1"/>
  <c r="Q312" i="1"/>
  <c r="S311" i="1"/>
  <c r="Q311" i="1"/>
  <c r="S310" i="1"/>
  <c r="Q310" i="1"/>
  <c r="S309" i="1"/>
  <c r="Q309" i="1"/>
  <c r="S308" i="1"/>
  <c r="Q308" i="1"/>
  <c r="S307" i="1"/>
  <c r="Q307" i="1"/>
  <c r="S306" i="1"/>
  <c r="Q306" i="1"/>
  <c r="S305" i="1"/>
  <c r="Q305" i="1"/>
  <c r="S304" i="1"/>
  <c r="Q304" i="1"/>
  <c r="S303" i="1"/>
  <c r="Q303" i="1"/>
  <c r="Q302" i="1"/>
  <c r="S302" i="1" s="1"/>
  <c r="S301" i="1"/>
  <c r="Q301" i="1"/>
  <c r="S300" i="1"/>
  <c r="Q300" i="1"/>
  <c r="Q299" i="1"/>
  <c r="S299" i="1" s="1"/>
  <c r="S298" i="1"/>
  <c r="Q298" i="1"/>
  <c r="S297" i="1"/>
  <c r="Q297" i="1"/>
  <c r="S296" i="1"/>
  <c r="Q296" i="1"/>
  <c r="S295" i="1"/>
  <c r="Q295" i="1"/>
  <c r="Q294" i="1"/>
  <c r="S294" i="1" s="1"/>
  <c r="Q293" i="1"/>
  <c r="S293" i="1" s="1"/>
  <c r="S292" i="1"/>
  <c r="Q292" i="1"/>
  <c r="S291" i="1"/>
  <c r="Q291" i="1"/>
  <c r="Q290" i="1"/>
  <c r="S290" i="1" s="1"/>
  <c r="S289" i="1"/>
  <c r="Q289" i="1"/>
  <c r="S288" i="1"/>
  <c r="Q288" i="1"/>
  <c r="Q287" i="1"/>
  <c r="S287" i="1" s="1"/>
  <c r="S286" i="1"/>
  <c r="Q286" i="1"/>
  <c r="Q285" i="1"/>
  <c r="S285" i="1" s="1"/>
  <c r="Q284" i="1"/>
  <c r="S284" i="1" s="1"/>
  <c r="S283" i="1"/>
  <c r="Q283" i="1"/>
  <c r="Q282" i="1"/>
  <c r="S282" i="1" s="1"/>
  <c r="Q281" i="1"/>
  <c r="S281" i="1" s="1"/>
  <c r="S280" i="1"/>
  <c r="Q280" i="1"/>
  <c r="Q279" i="1"/>
  <c r="S279" i="1" s="1"/>
  <c r="Q278" i="1"/>
  <c r="S278" i="1" s="1"/>
  <c r="S277" i="1"/>
  <c r="Q277" i="1"/>
  <c r="Q276" i="1"/>
  <c r="S276" i="1" s="1"/>
  <c r="Q275" i="1"/>
  <c r="S275" i="1" s="1"/>
  <c r="S274" i="1"/>
  <c r="Q274" i="1"/>
  <c r="Q273" i="1"/>
  <c r="S273" i="1" s="1"/>
  <c r="Q272" i="1"/>
  <c r="S272" i="1" s="1"/>
  <c r="S271" i="1"/>
  <c r="Q271" i="1"/>
  <c r="Q270" i="1"/>
  <c r="S270" i="1" s="1"/>
  <c r="Q269" i="1"/>
  <c r="S269" i="1" s="1"/>
  <c r="S268" i="1"/>
  <c r="Q268" i="1"/>
  <c r="Q267" i="1"/>
  <c r="S267" i="1" s="1"/>
  <c r="Q266" i="1"/>
  <c r="S266" i="1" s="1"/>
  <c r="S265" i="1"/>
  <c r="Q265" i="1"/>
  <c r="Q264" i="1"/>
  <c r="S264" i="1" s="1"/>
  <c r="Q263" i="1"/>
  <c r="S263" i="1" s="1"/>
  <c r="S262" i="1"/>
  <c r="Q262" i="1"/>
  <c r="Q261" i="1"/>
  <c r="S261" i="1" s="1"/>
  <c r="Q260" i="1"/>
  <c r="S260" i="1" s="1"/>
  <c r="S259" i="1"/>
  <c r="Q259" i="1"/>
  <c r="Q258" i="1"/>
  <c r="S258" i="1" s="1"/>
  <c r="Q257" i="1"/>
  <c r="S257" i="1" s="1"/>
  <c r="S256" i="1"/>
  <c r="Q256" i="1"/>
  <c r="Q255" i="1"/>
  <c r="S255" i="1" s="1"/>
  <c r="Q254" i="1"/>
  <c r="S254" i="1" s="1"/>
  <c r="S253" i="1"/>
  <c r="Q253" i="1"/>
  <c r="Q252" i="1"/>
  <c r="S252" i="1" s="1"/>
  <c r="Q251" i="1"/>
  <c r="S251" i="1" s="1"/>
  <c r="S250" i="1"/>
  <c r="Q250" i="1"/>
  <c r="Q249" i="1"/>
  <c r="S249" i="1" s="1"/>
  <c r="Q248" i="1"/>
  <c r="S248" i="1" s="1"/>
  <c r="S247" i="1"/>
  <c r="Q247" i="1"/>
  <c r="Q246" i="1"/>
  <c r="S246" i="1" s="1"/>
  <c r="Q245" i="1"/>
  <c r="S245" i="1" s="1"/>
  <c r="S244" i="1"/>
  <c r="Q244" i="1"/>
  <c r="Q243" i="1"/>
  <c r="S243" i="1" s="1"/>
  <c r="Q242" i="1"/>
  <c r="S242" i="1" s="1"/>
  <c r="S241" i="1"/>
  <c r="Q241" i="1"/>
  <c r="Q240" i="1"/>
  <c r="S240" i="1" s="1"/>
  <c r="Q239" i="1"/>
  <c r="S239" i="1" s="1"/>
  <c r="S238" i="1"/>
  <c r="Q238" i="1"/>
  <c r="Q237" i="1"/>
  <c r="S237" i="1" s="1"/>
  <c r="Q236" i="1"/>
  <c r="S236" i="1" s="1"/>
  <c r="S235" i="1"/>
  <c r="Q235" i="1"/>
  <c r="Q234" i="1"/>
  <c r="S234" i="1" s="1"/>
  <c r="Q233" i="1"/>
  <c r="S233" i="1" s="1"/>
  <c r="S232" i="1"/>
  <c r="Q232" i="1"/>
  <c r="Q231" i="1"/>
  <c r="S231" i="1" s="1"/>
  <c r="Q230" i="1"/>
  <c r="S230" i="1" s="1"/>
  <c r="S229" i="1"/>
  <c r="Q229" i="1"/>
  <c r="Q228" i="1"/>
  <c r="S228" i="1" s="1"/>
  <c r="Q227" i="1"/>
  <c r="S227" i="1" s="1"/>
  <c r="S226" i="1"/>
  <c r="Q226" i="1"/>
  <c r="Q225" i="1"/>
  <c r="S225" i="1" s="1"/>
  <c r="Q224" i="1"/>
  <c r="S224" i="1" s="1"/>
  <c r="S223" i="1"/>
  <c r="Q223" i="1"/>
  <c r="Q222" i="1"/>
  <c r="S222" i="1" s="1"/>
  <c r="Q221" i="1"/>
  <c r="S221" i="1" s="1"/>
  <c r="S220" i="1"/>
  <c r="Q220" i="1"/>
  <c r="Q219" i="1"/>
  <c r="S219" i="1" s="1"/>
  <c r="Q218" i="1"/>
  <c r="S218" i="1" s="1"/>
  <c r="S217" i="1"/>
  <c r="Q217" i="1"/>
  <c r="Q216" i="1"/>
  <c r="S216" i="1" s="1"/>
  <c r="Q215" i="1"/>
  <c r="S215" i="1" s="1"/>
  <c r="S214" i="1"/>
  <c r="Q214" i="1"/>
  <c r="Q213" i="1"/>
  <c r="S213" i="1" s="1"/>
  <c r="Q212" i="1"/>
  <c r="S212" i="1" s="1"/>
  <c r="S211" i="1"/>
  <c r="Q211" i="1"/>
  <c r="Q210" i="1"/>
  <c r="S210" i="1" s="1"/>
  <c r="Q209" i="1"/>
  <c r="S209" i="1" s="1"/>
  <c r="S208" i="1"/>
  <c r="Q208" i="1"/>
  <c r="Q207" i="1"/>
  <c r="S207" i="1" s="1"/>
  <c r="Q206" i="1"/>
  <c r="S206" i="1" s="1"/>
  <c r="S205" i="1"/>
  <c r="Q205" i="1"/>
  <c r="Q204" i="1"/>
  <c r="S204" i="1" s="1"/>
  <c r="Q203" i="1"/>
  <c r="S203" i="1" s="1"/>
  <c r="S202" i="1"/>
  <c r="Q202" i="1"/>
  <c r="Q201" i="1"/>
  <c r="S201" i="1" s="1"/>
  <c r="Q200" i="1"/>
  <c r="S200" i="1" s="1"/>
  <c r="S199" i="1"/>
  <c r="Q199" i="1"/>
  <c r="Q198" i="1"/>
  <c r="S198" i="1" s="1"/>
  <c r="Q197" i="1"/>
  <c r="S197" i="1" s="1"/>
  <c r="S196" i="1"/>
  <c r="Q196" i="1"/>
  <c r="Q195" i="1"/>
  <c r="S195" i="1" s="1"/>
  <c r="Q194" i="1"/>
  <c r="S194" i="1" s="1"/>
  <c r="S193" i="1"/>
  <c r="Q193" i="1"/>
  <c r="Q192" i="1"/>
  <c r="S192" i="1" s="1"/>
  <c r="Q191" i="1"/>
  <c r="S191" i="1" s="1"/>
  <c r="S190" i="1"/>
  <c r="Q190" i="1"/>
  <c r="Q189" i="1"/>
  <c r="S189" i="1" s="1"/>
  <c r="Q188" i="1"/>
  <c r="S188" i="1" s="1"/>
  <c r="S187" i="1"/>
  <c r="Q187" i="1"/>
  <c r="Q186" i="1"/>
  <c r="S186" i="1" s="1"/>
  <c r="Q185" i="1"/>
  <c r="S185" i="1" s="1"/>
  <c r="S184" i="1"/>
  <c r="Q184" i="1"/>
  <c r="Q183" i="1"/>
  <c r="S183" i="1" s="1"/>
  <c r="Q182" i="1"/>
  <c r="S182" i="1" s="1"/>
  <c r="S181" i="1"/>
  <c r="Q181" i="1"/>
  <c r="Q180" i="1"/>
  <c r="S180" i="1" s="1"/>
  <c r="Q179" i="1"/>
  <c r="S179" i="1" s="1"/>
  <c r="S178" i="1"/>
  <c r="Q178" i="1"/>
  <c r="Q177" i="1"/>
  <c r="S177" i="1" s="1"/>
  <c r="Q176" i="1"/>
  <c r="S176" i="1" s="1"/>
  <c r="S175" i="1"/>
  <c r="Q175" i="1"/>
  <c r="Q174" i="1"/>
  <c r="S174" i="1" s="1"/>
  <c r="Q173" i="1"/>
  <c r="S173" i="1" s="1"/>
  <c r="S172" i="1"/>
  <c r="Q172" i="1"/>
  <c r="Q171" i="1"/>
  <c r="S171" i="1" s="1"/>
  <c r="Q170" i="1"/>
  <c r="S170" i="1" s="1"/>
  <c r="S169" i="1"/>
  <c r="Q169" i="1"/>
  <c r="Q168" i="1"/>
  <c r="S168" i="1" s="1"/>
  <c r="Q167" i="1"/>
  <c r="S167" i="1" s="1"/>
  <c r="S166" i="1"/>
  <c r="Q166" i="1"/>
  <c r="Q165" i="1"/>
  <c r="S165" i="1" s="1"/>
  <c r="Q164" i="1"/>
  <c r="S164" i="1" s="1"/>
  <c r="S163" i="1"/>
  <c r="Q163" i="1"/>
  <c r="Q162" i="1"/>
  <c r="S162" i="1" s="1"/>
  <c r="Q161" i="1"/>
  <c r="S161" i="1" s="1"/>
  <c r="S160" i="1"/>
  <c r="Q160" i="1"/>
  <c r="Q159" i="1"/>
  <c r="S159" i="1" s="1"/>
  <c r="Q158" i="1"/>
  <c r="S158" i="1" s="1"/>
  <c r="S157" i="1"/>
  <c r="Q157" i="1"/>
  <c r="Q156" i="1"/>
  <c r="S156" i="1" s="1"/>
  <c r="Q155" i="1"/>
  <c r="S155" i="1" s="1"/>
  <c r="S154" i="1"/>
  <c r="Q154" i="1"/>
  <c r="Q153" i="1"/>
  <c r="S153" i="1" s="1"/>
  <c r="Q152" i="1"/>
  <c r="S152" i="1" s="1"/>
  <c r="S151" i="1"/>
  <c r="Q151" i="1"/>
  <c r="Q150" i="1"/>
  <c r="S150" i="1" s="1"/>
  <c r="Q149" i="1"/>
  <c r="S149" i="1" s="1"/>
  <c r="S148" i="1"/>
  <c r="Q148" i="1"/>
  <c r="Q147" i="1"/>
  <c r="S147" i="1" s="1"/>
  <c r="Q146" i="1"/>
  <c r="S146" i="1" s="1"/>
  <c r="S145" i="1"/>
  <c r="Q145" i="1"/>
  <c r="Q144" i="1"/>
  <c r="S144" i="1" s="1"/>
  <c r="Q143" i="1"/>
  <c r="S143" i="1" s="1"/>
  <c r="S142" i="1"/>
  <c r="Q142" i="1"/>
  <c r="Q141" i="1"/>
  <c r="S141" i="1" s="1"/>
  <c r="Q140" i="1"/>
  <c r="S140" i="1" s="1"/>
  <c r="S139" i="1"/>
  <c r="Q139" i="1"/>
  <c r="Q138" i="1"/>
  <c r="S138" i="1" s="1"/>
  <c r="Q137" i="1"/>
  <c r="S137" i="1" s="1"/>
  <c r="S136" i="1"/>
  <c r="Q136" i="1"/>
  <c r="Q135" i="1"/>
  <c r="S135" i="1" s="1"/>
  <c r="Q134" i="1"/>
  <c r="S134" i="1" s="1"/>
  <c r="S133" i="1"/>
  <c r="Q133" i="1"/>
  <c r="Q132" i="1"/>
  <c r="S132" i="1" s="1"/>
  <c r="Q131" i="1"/>
  <c r="S131" i="1" s="1"/>
  <c r="S130" i="1"/>
  <c r="Q130" i="1"/>
  <c r="Q129" i="1"/>
  <c r="S129" i="1" s="1"/>
  <c r="Q128" i="1"/>
  <c r="S128" i="1" s="1"/>
  <c r="S127" i="1"/>
  <c r="Q127" i="1"/>
  <c r="Q126" i="1"/>
  <c r="S126" i="1" s="1"/>
  <c r="Q125" i="1"/>
  <c r="S125" i="1" s="1"/>
  <c r="S124" i="1"/>
  <c r="Q124" i="1"/>
  <c r="Q123" i="1"/>
  <c r="S123" i="1" s="1"/>
  <c r="Q122" i="1"/>
  <c r="S122" i="1" s="1"/>
  <c r="S121" i="1"/>
  <c r="Q121" i="1"/>
  <c r="Q120" i="1"/>
  <c r="S120" i="1" s="1"/>
  <c r="Q119" i="1"/>
  <c r="S119" i="1" s="1"/>
  <c r="S118" i="1"/>
  <c r="Q118" i="1"/>
  <c r="Q117" i="1"/>
  <c r="S117" i="1" s="1"/>
  <c r="Q116" i="1"/>
  <c r="S116" i="1" s="1"/>
  <c r="S115" i="1"/>
  <c r="Q115" i="1"/>
  <c r="Q114" i="1"/>
  <c r="S114" i="1" s="1"/>
  <c r="Q113" i="1"/>
  <c r="S113" i="1" s="1"/>
  <c r="S112" i="1"/>
  <c r="Q112" i="1"/>
  <c r="Q111" i="1"/>
  <c r="S111" i="1" s="1"/>
  <c r="Q110" i="1"/>
  <c r="S110" i="1" s="1"/>
  <c r="S109" i="1"/>
  <c r="Q109" i="1"/>
  <c r="Q108" i="1"/>
  <c r="S108" i="1" s="1"/>
  <c r="Q107" i="1"/>
  <c r="S107" i="1" s="1"/>
  <c r="S106" i="1"/>
  <c r="Q106" i="1"/>
  <c r="Q105" i="1"/>
  <c r="S105" i="1" s="1"/>
  <c r="Q104" i="1"/>
  <c r="S104" i="1" s="1"/>
  <c r="Q103" i="1"/>
  <c r="S103" i="1" s="1"/>
  <c r="Q102" i="1"/>
  <c r="S102" i="1" s="1"/>
  <c r="Q101" i="1"/>
  <c r="S101" i="1" s="1"/>
  <c r="S100" i="1"/>
  <c r="Q100" i="1"/>
  <c r="Q99" i="1"/>
  <c r="S99" i="1" s="1"/>
  <c r="Q98" i="1"/>
  <c r="S98" i="1" s="1"/>
  <c r="S97" i="1"/>
  <c r="Q97" i="1"/>
  <c r="Q96" i="1"/>
  <c r="S96" i="1" s="1"/>
  <c r="Q95" i="1"/>
  <c r="S95" i="1" s="1"/>
  <c r="Q94" i="1"/>
  <c r="S94" i="1" s="1"/>
  <c r="Q93" i="1"/>
  <c r="S93" i="1" s="1"/>
  <c r="Q92" i="1"/>
  <c r="S92" i="1" s="1"/>
  <c r="S91" i="1"/>
  <c r="Q91" i="1"/>
  <c r="Q90" i="1"/>
  <c r="S90" i="1" s="1"/>
  <c r="Q89" i="1"/>
  <c r="S89" i="1" s="1"/>
  <c r="S88" i="1"/>
  <c r="Q88" i="1"/>
  <c r="Q87" i="1"/>
  <c r="S87" i="1" s="1"/>
  <c r="Q86" i="1"/>
  <c r="S86" i="1" s="1"/>
  <c r="Q85" i="1"/>
  <c r="S85" i="1" s="1"/>
  <c r="Q84" i="1"/>
  <c r="S84" i="1" s="1"/>
  <c r="Q83" i="1"/>
  <c r="S83" i="1" s="1"/>
  <c r="S82" i="1"/>
  <c r="Q82" i="1"/>
  <c r="Q81" i="1"/>
  <c r="S81" i="1" s="1"/>
  <c r="Q80" i="1"/>
  <c r="S80" i="1" s="1"/>
  <c r="S79" i="1"/>
  <c r="Q79" i="1"/>
  <c r="Q78" i="1"/>
  <c r="S78" i="1" s="1"/>
  <c r="Q77" i="1"/>
  <c r="S77" i="1" s="1"/>
  <c r="Q76" i="1"/>
  <c r="S76" i="1" s="1"/>
  <c r="Q75" i="1"/>
  <c r="S75" i="1" s="1"/>
  <c r="Q74" i="1"/>
  <c r="S74" i="1" s="1"/>
  <c r="S73" i="1"/>
  <c r="Q73" i="1"/>
  <c r="Q72" i="1"/>
  <c r="S72" i="1" s="1"/>
  <c r="Q71" i="1"/>
  <c r="S71" i="1" s="1"/>
  <c r="S70" i="1"/>
  <c r="Q70" i="1"/>
  <c r="Q69" i="1"/>
  <c r="S69" i="1" s="1"/>
  <c r="Q68" i="1"/>
  <c r="S68" i="1" s="1"/>
  <c r="Q67" i="1"/>
  <c r="S67" i="1" s="1"/>
  <c r="Q66" i="1"/>
  <c r="S66" i="1" s="1"/>
  <c r="Q65" i="1"/>
  <c r="S65" i="1" s="1"/>
  <c r="S64" i="1"/>
  <c r="Q64" i="1"/>
  <c r="Q63" i="1"/>
  <c r="S63" i="1" s="1"/>
  <c r="Q62" i="1"/>
  <c r="S62" i="1" s="1"/>
  <c r="S61" i="1"/>
  <c r="Q61" i="1"/>
  <c r="Q60" i="1"/>
  <c r="S60" i="1" s="1"/>
  <c r="Q59" i="1"/>
  <c r="S59" i="1" s="1"/>
  <c r="Q58" i="1"/>
  <c r="S58" i="1" s="1"/>
  <c r="Q57" i="1"/>
  <c r="S57" i="1" s="1"/>
  <c r="Q56" i="1"/>
  <c r="S56" i="1" s="1"/>
  <c r="S55" i="1"/>
  <c r="Q55" i="1"/>
  <c r="Q54" i="1"/>
  <c r="S54" i="1" s="1"/>
  <c r="Q53" i="1"/>
  <c r="S53" i="1" s="1"/>
  <c r="S52" i="1"/>
  <c r="Q52" i="1"/>
  <c r="Q51" i="1"/>
  <c r="S51" i="1" s="1"/>
  <c r="Q50" i="1"/>
  <c r="S50" i="1" s="1"/>
  <c r="Q49" i="1"/>
  <c r="S49" i="1" s="1"/>
  <c r="Q48" i="1"/>
  <c r="S48" i="1" s="1"/>
  <c r="Q47" i="1"/>
  <c r="S47" i="1" s="1"/>
  <c r="Q46" i="1"/>
  <c r="S46" i="1" s="1"/>
  <c r="Q45" i="1"/>
  <c r="S45" i="1" s="1"/>
  <c r="S44" i="1"/>
  <c r="Q44" i="1"/>
  <c r="S43" i="1"/>
  <c r="Q43" i="1"/>
  <c r="Q42" i="1"/>
  <c r="S42" i="1" s="1"/>
  <c r="S41" i="1"/>
  <c r="Q41" i="1"/>
  <c r="S40" i="1"/>
  <c r="Q40" i="1"/>
  <c r="Q39" i="1"/>
  <c r="S39" i="1" s="1"/>
  <c r="S38" i="1"/>
  <c r="Q38" i="1"/>
  <c r="S37" i="1"/>
  <c r="Q37" i="1"/>
  <c r="Q36" i="1"/>
  <c r="S36" i="1" s="1"/>
  <c r="S35" i="1"/>
  <c r="Q35" i="1"/>
  <c r="S34" i="1"/>
  <c r="Q34" i="1"/>
  <c r="Q33" i="1"/>
  <c r="S33" i="1" s="1"/>
  <c r="S32" i="1"/>
  <c r="Q32" i="1"/>
  <c r="S31" i="1"/>
  <c r="Q31" i="1"/>
  <c r="Q30" i="1"/>
  <c r="S30" i="1" s="1"/>
  <c r="S29" i="1"/>
  <c r="Q29" i="1"/>
  <c r="S28" i="1"/>
  <c r="Q28" i="1"/>
  <c r="Q27" i="1"/>
  <c r="S27" i="1" s="1"/>
  <c r="S26" i="1"/>
  <c r="Q26" i="1"/>
  <c r="S25" i="1"/>
  <c r="Q25" i="1"/>
  <c r="Q24" i="1"/>
  <c r="S24" i="1" s="1"/>
  <c r="S23" i="1"/>
  <c r="Q23" i="1"/>
  <c r="S22" i="1"/>
  <c r="Q22" i="1"/>
  <c r="Q21" i="1"/>
  <c r="S21" i="1" s="1"/>
  <c r="S20" i="1"/>
  <c r="Q20" i="1"/>
  <c r="S19" i="1"/>
  <c r="Q19" i="1"/>
  <c r="Q18" i="1"/>
  <c r="S18" i="1" s="1"/>
  <c r="S17" i="1"/>
  <c r="Q17" i="1"/>
  <c r="S16" i="1"/>
  <c r="Q16" i="1"/>
  <c r="Q15" i="1"/>
  <c r="S15" i="1" s="1"/>
  <c r="S14" i="1"/>
  <c r="Q14" i="1"/>
  <c r="S13" i="1"/>
  <c r="Q13" i="1"/>
  <c r="Q12" i="1"/>
  <c r="S12" i="1" s="1"/>
  <c r="S11" i="1"/>
  <c r="Q11" i="1"/>
  <c r="S10" i="1"/>
  <c r="Q10" i="1"/>
  <c r="Q9" i="1"/>
  <c r="S9" i="1" s="1"/>
  <c r="S8" i="1"/>
  <c r="Q8" i="1"/>
  <c r="S7" i="1"/>
  <c r="Q7" i="1"/>
  <c r="Q6" i="1"/>
  <c r="S6" i="1" s="1"/>
  <c r="S5" i="1"/>
  <c r="Q5" i="1"/>
  <c r="S4" i="1"/>
  <c r="Q4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BG52" i="1" l="1"/>
  <c r="BG58" i="1"/>
  <c r="BG64" i="1"/>
  <c r="BG70" i="1"/>
  <c r="BG76" i="1"/>
  <c r="BG82" i="1"/>
  <c r="BG88" i="1"/>
  <c r="BG94" i="1"/>
  <c r="BG100" i="1"/>
  <c r="BG106" i="1"/>
  <c r="BG112" i="1"/>
  <c r="BG118" i="1"/>
  <c r="BG124" i="1"/>
  <c r="BG130" i="1"/>
  <c r="BG136" i="1"/>
  <c r="BG142" i="1"/>
  <c r="BG148" i="1"/>
  <c r="BG154" i="1"/>
  <c r="BG160" i="1"/>
  <c r="BG166" i="1"/>
  <c r="BG172" i="1"/>
  <c r="BG178" i="1"/>
  <c r="BG184" i="1"/>
  <c r="BG190" i="1"/>
  <c r="BG196" i="1"/>
  <c r="BG202" i="1"/>
  <c r="BG208" i="1"/>
  <c r="BG214" i="1"/>
  <c r="AV210" i="1"/>
  <c r="AV222" i="1"/>
  <c r="AV234" i="1"/>
  <c r="AV246" i="1"/>
  <c r="AV258" i="1"/>
  <c r="AV270" i="1"/>
  <c r="AV282" i="1"/>
  <c r="AV294" i="1"/>
  <c r="AV306" i="1"/>
  <c r="AV214" i="1"/>
  <c r="AV226" i="1"/>
  <c r="AV238" i="1"/>
  <c r="AV250" i="1"/>
  <c r="AV262" i="1"/>
  <c r="AV274" i="1"/>
  <c r="AV286" i="1"/>
  <c r="AV298" i="1"/>
  <c r="AV310" i="1"/>
</calcChain>
</file>

<file path=xl/sharedStrings.xml><?xml version="1.0" encoding="utf-8"?>
<sst xmlns="http://schemas.openxmlformats.org/spreadsheetml/2006/main" count="69" uniqueCount="26">
  <si>
    <t>2020년</t>
    <phoneticPr fontId="4" type="noConversion"/>
  </si>
  <si>
    <t>머드스콘</t>
  </si>
  <si>
    <t>날짜</t>
    <phoneticPr fontId="4" type="noConversion"/>
  </si>
  <si>
    <t>2021년</t>
    <phoneticPr fontId="4" type="noConversion"/>
  </si>
  <si>
    <t>머드스콘</t>
    <phoneticPr fontId="4" type="noConversion"/>
  </si>
  <si>
    <t>2022년</t>
    <phoneticPr fontId="4" type="noConversion"/>
  </si>
  <si>
    <t>2023년</t>
    <phoneticPr fontId="4" type="noConversion"/>
  </si>
  <si>
    <t>합계('23)</t>
    <phoneticPr fontId="4" type="noConversion"/>
  </si>
  <si>
    <t>2024년</t>
    <phoneticPr fontId="4" type="noConversion"/>
  </si>
  <si>
    <t>2025년</t>
    <phoneticPr fontId="4" type="noConversion"/>
  </si>
  <si>
    <t>오터</t>
    <phoneticPr fontId="4" type="noConversion"/>
  </si>
  <si>
    <t>회원</t>
    <phoneticPr fontId="4" type="noConversion"/>
  </si>
  <si>
    <t>2026년</t>
    <phoneticPr fontId="4" type="noConversion"/>
  </si>
  <si>
    <t>회원/비회원</t>
    <phoneticPr fontId="4" type="noConversion"/>
  </si>
  <si>
    <t>네이버페이</t>
    <phoneticPr fontId="4" type="noConversion"/>
  </si>
  <si>
    <t xml:space="preserve">총 매출 </t>
    <phoneticPr fontId="4" type="noConversion"/>
  </si>
  <si>
    <t xml:space="preserve">스마트스토어(총 주문금액+배송비) </t>
    <phoneticPr fontId="4" type="noConversion"/>
  </si>
  <si>
    <t>머드상회</t>
    <phoneticPr fontId="4" type="noConversion"/>
  </si>
  <si>
    <t>합계</t>
    <phoneticPr fontId="4" type="noConversion"/>
  </si>
  <si>
    <t>총 매출</t>
    <phoneticPr fontId="4" type="noConversion"/>
  </si>
  <si>
    <t>네이버페이주문형</t>
    <phoneticPr fontId="4" type="noConversion"/>
  </si>
  <si>
    <t>머드 합계</t>
    <phoneticPr fontId="4" type="noConversion"/>
  </si>
  <si>
    <t>카페24</t>
    <phoneticPr fontId="4" type="noConversion"/>
  </si>
  <si>
    <t>쿠팡</t>
    <phoneticPr fontId="4" type="noConversion"/>
  </si>
  <si>
    <t>오터 합계</t>
    <phoneticPr fontId="4" type="noConversion"/>
  </si>
  <si>
    <t>위시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</si>
</sst>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[$-412]mm&quot;-&quot;dd&quot;-&quot;ddd"/>
  </numFmts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1B1E26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42" fontId="0" fillId="0" borderId="0" xfId="1" applyFont="1" applyAlignment="1">
      <alignment horizontal="center" vertical="center"/>
    </xf>
    <xf numFmtId="42" fontId="0" fillId="0" borderId="0" xfId="1" applyFont="1">
      <alignment vertical="center"/>
    </xf>
    <xf numFmtId="176" fontId="0" fillId="0" borderId="0" xfId="0" applyNumberFormat="1">
      <alignment vertical="center"/>
    </xf>
    <xf numFmtId="42" fontId="0" fillId="0" borderId="0" xfId="1" applyFont="1" applyFill="1">
      <alignment vertical="center"/>
    </xf>
    <xf numFmtId="42" fontId="0" fillId="0" borderId="0" xfId="0" applyNumberFormat="1">
      <alignment vertical="center"/>
    </xf>
    <xf numFmtId="42" fontId="2" fillId="0" borderId="0" xfId="1" applyFont="1" applyFill="1">
      <alignment vertical="center"/>
    </xf>
    <xf numFmtId="42" fontId="0" fillId="3" borderId="0" xfId="0" applyNumberFormat="1" applyFill="1">
      <alignment vertical="center"/>
    </xf>
    <xf numFmtId="42" fontId="0" fillId="3" borderId="0" xfId="1" applyFont="1" applyFill="1">
      <alignment vertical="center"/>
    </xf>
    <xf numFmtId="176" fontId="2" fillId="0" borderId="0" xfId="0" applyNumberFormat="1" applyFont="1">
      <alignment vertical="center"/>
    </xf>
    <xf numFmtId="176" fontId="2" fillId="3" borderId="0" xfId="0" applyNumberFormat="1" applyFont="1" applyFill="1">
      <alignment vertical="center"/>
    </xf>
    <xf numFmtId="42" fontId="1" fillId="3" borderId="0" xfId="1" applyFont="1" applyFill="1">
      <alignment vertical="center"/>
    </xf>
    <xf numFmtId="0" fontId="0" fillId="4" borderId="0" xfId="0" applyFill="1" applyAlignment="1">
      <alignment horizontal="center" vertical="center"/>
    </xf>
    <xf numFmtId="42" fontId="0" fillId="0" borderId="0" xfId="1" applyFont="1" applyFill="1" applyAlignment="1">
      <alignment horizontal="center" vertical="center"/>
    </xf>
    <xf numFmtId="42" fontId="5" fillId="0" borderId="0" xfId="0" applyNumberFormat="1" applyFont="1">
      <alignment vertical="center"/>
    </xf>
    <xf numFmtId="176" fontId="0" fillId="3" borderId="0" xfId="0" applyNumberFormat="1" applyFill="1">
      <alignment vertical="center"/>
    </xf>
    <xf numFmtId="42" fontId="0" fillId="5" borderId="0" xfId="1" applyFont="1" applyFill="1" applyAlignment="1">
      <alignment horizontal="center" vertical="center"/>
    </xf>
    <xf numFmtId="42" fontId="6" fillId="0" borderId="0" xfId="1" applyFont="1">
      <alignment vertical="center"/>
    </xf>
    <xf numFmtId="3" fontId="7" fillId="0" borderId="0" xfId="0" applyNumberFormat="1" applyFont="1">
      <alignment vertical="center"/>
    </xf>
    <xf numFmtId="42" fontId="7" fillId="0" borderId="0" xfId="0" applyNumberFormat="1" applyFont="1">
      <alignment vertical="center"/>
    </xf>
    <xf numFmtId="42" fontId="1" fillId="0" borderId="0" xfId="1" applyFont="1">
      <alignment vertical="center"/>
    </xf>
    <xf numFmtId="42" fontId="0" fillId="0" borderId="0" xfId="2" applyFont="1">
      <alignment vertical="center"/>
    </xf>
    <xf numFmtId="42" fontId="0" fillId="2" borderId="0" xfId="1" applyFont="1" applyFill="1" applyAlignment="1">
      <alignment horizontal="center" vertical="center"/>
    </xf>
    <xf numFmtId="42" fontId="5" fillId="0" borderId="0" xfId="1" applyFont="1">
      <alignment vertical="center"/>
    </xf>
    <xf numFmtId="42" fontId="6" fillId="0" borderId="0" xfId="0" applyNumberFormat="1" applyFont="1">
      <alignment vertical="center"/>
    </xf>
    <xf numFmtId="42" fontId="0" fillId="0" borderId="0" xfId="0" applyNumberFormat="1" applyAlignment="1"/>
    <xf numFmtId="42" fontId="0" fillId="0" borderId="0" xfId="1" applyFont="1" applyAlignment="1">
      <alignment vertical="center"/>
    </xf>
    <xf numFmtId="42" fontId="0" fillId="6" borderId="0" xfId="1" applyFont="1" applyFill="1" applyAlignment="1">
      <alignment horizontal="center" vertical="center"/>
    </xf>
    <xf numFmtId="42" fontId="3" fillId="7" borderId="0" xfId="1" applyFont="1" applyFill="1" applyAlignment="1">
      <alignment horizontal="center" vertical="center"/>
    </xf>
    <xf numFmtId="42" fontId="0" fillId="5" borderId="0" xfId="1" applyFont="1" applyFill="1">
      <alignment vertical="center"/>
    </xf>
    <xf numFmtId="42" fontId="0" fillId="5" borderId="0" xfId="1" applyFont="1" applyFill="1" applyAlignment="1">
      <alignment vertical="center"/>
    </xf>
    <xf numFmtId="42" fontId="0" fillId="6" borderId="0" xfId="1" applyFont="1" applyFill="1" applyAlignment="1">
      <alignment vertical="center"/>
    </xf>
    <xf numFmtId="42" fontId="0" fillId="6" borderId="0" xfId="1" applyFont="1" applyFill="1">
      <alignment vertical="center"/>
    </xf>
    <xf numFmtId="42" fontId="8" fillId="7" borderId="0" xfId="1" applyFont="1" applyFill="1" applyAlignment="1">
      <alignment horizontal="center" vertical="center"/>
    </xf>
    <xf numFmtId="176" fontId="9" fillId="8" borderId="0" xfId="0" applyNumberFormat="1" applyFont="1" applyFill="1">
      <alignment vertical="center"/>
    </xf>
    <xf numFmtId="42" fontId="0" fillId="8" borderId="0" xfId="0" applyNumberFormat="1" applyFill="1">
      <alignment vertical="center"/>
    </xf>
    <xf numFmtId="42" fontId="0" fillId="8" borderId="0" xfId="1" applyFont="1" applyFill="1">
      <alignment vertical="center"/>
    </xf>
    <xf numFmtId="42" fontId="6" fillId="8" borderId="0" xfId="0" applyNumberFormat="1" applyFont="1" applyFill="1">
      <alignment vertical="center"/>
    </xf>
    <xf numFmtId="176" fontId="6" fillId="0" borderId="0" xfId="0" applyNumberFormat="1" applyFont="1">
      <alignment vertical="center"/>
    </xf>
    <xf numFmtId="42" fontId="10" fillId="0" borderId="0" xfId="0" applyNumberFormat="1" applyFont="1">
      <alignment vertical="center"/>
    </xf>
    <xf numFmtId="42" fontId="10" fillId="0" borderId="0" xfId="1" applyFont="1">
      <alignment vertical="center"/>
    </xf>
  </cellXfs>
  <cellStyles count="3">
    <cellStyle name="통화 [0]" xfId="1" builtinId="7"/>
    <cellStyle name="통화 [0] 2" xfId="2" xr:uid="{9F738E60-81FD-4634-890A-8E699A50042B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머드</a:t>
            </a:r>
            <a:r>
              <a:rPr lang="ko-KR" altLang="en-US" baseline="0"/>
              <a:t> 매출 비교 그래프 </a:t>
            </a:r>
            <a:r>
              <a:rPr lang="en-US" altLang="ko-KR" baseline="0"/>
              <a:t>YoY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2020</c:v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'[1]20-22 비교'!$O$338:$O$369</c:f>
              <c:numCache>
                <c:formatCode>[$-412]mm"-"dd"-"ddd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'[1]20-22 비교'!$D$338:$D$366</c:f>
              <c:numCache>
                <c:formatCode>_("₩"* #,##0_);_("₩"* \(#,##0\);_("₩"* "-"_);_(@_)</c:formatCode>
                <c:ptCount val="29"/>
                <c:pt idx="0">
                  <c:v>15704810</c:v>
                </c:pt>
                <c:pt idx="1">
                  <c:v>6319296</c:v>
                </c:pt>
                <c:pt idx="2">
                  <c:v>4999370</c:v>
                </c:pt>
                <c:pt idx="3">
                  <c:v>5910169</c:v>
                </c:pt>
                <c:pt idx="4">
                  <c:v>12088726</c:v>
                </c:pt>
                <c:pt idx="5">
                  <c:v>17106904</c:v>
                </c:pt>
                <c:pt idx="6">
                  <c:v>17751936</c:v>
                </c:pt>
                <c:pt idx="7">
                  <c:v>19828781</c:v>
                </c:pt>
                <c:pt idx="8">
                  <c:v>13362089</c:v>
                </c:pt>
                <c:pt idx="9">
                  <c:v>5243760</c:v>
                </c:pt>
                <c:pt idx="10">
                  <c:v>6209160</c:v>
                </c:pt>
                <c:pt idx="11">
                  <c:v>12090048</c:v>
                </c:pt>
                <c:pt idx="12">
                  <c:v>17626579</c:v>
                </c:pt>
                <c:pt idx="13">
                  <c:v>17224980</c:v>
                </c:pt>
                <c:pt idx="14">
                  <c:v>15119038</c:v>
                </c:pt>
                <c:pt idx="15">
                  <c:v>12429068</c:v>
                </c:pt>
                <c:pt idx="16">
                  <c:v>2139361</c:v>
                </c:pt>
                <c:pt idx="17">
                  <c:v>2125553</c:v>
                </c:pt>
                <c:pt idx="18">
                  <c:v>14630403</c:v>
                </c:pt>
                <c:pt idx="19">
                  <c:v>18312836</c:v>
                </c:pt>
                <c:pt idx="20">
                  <c:v>14572701</c:v>
                </c:pt>
                <c:pt idx="21">
                  <c:v>13821192</c:v>
                </c:pt>
                <c:pt idx="22">
                  <c:v>1396263</c:v>
                </c:pt>
                <c:pt idx="23">
                  <c:v>2319491</c:v>
                </c:pt>
                <c:pt idx="24">
                  <c:v>2757129</c:v>
                </c:pt>
                <c:pt idx="25">
                  <c:v>15744125</c:v>
                </c:pt>
                <c:pt idx="26">
                  <c:v>18882847</c:v>
                </c:pt>
                <c:pt idx="27">
                  <c:v>7557682</c:v>
                </c:pt>
                <c:pt idx="28">
                  <c:v>13571903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79-4055-9411-E4CF5D15EE84}"/>
            </c:ext>
          </c:extLst>
        </c:ser>
        <c:ser>
          <c:idx val="1"/>
          <c:order val="1"/>
          <c:tx>
            <c:v>2021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'[1]20-22 비교'!$O$338:$O$369</c:f>
              <c:numCache>
                <c:formatCode>[$-412]mm"-"dd"-"ddd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'[1]20-22 비교'!$K$338:$K$367</c:f>
              <c:numCache>
                <c:formatCode>_("₩"* #,##0_);_("₩"* \(#,##0\);_("₩"* "-"_);_(@_)</c:formatCode>
                <c:ptCount val="30"/>
                <c:pt idx="0">
                  <c:v>13705362</c:v>
                </c:pt>
                <c:pt idx="1">
                  <c:v>24452584</c:v>
                </c:pt>
                <c:pt idx="2">
                  <c:v>2574375</c:v>
                </c:pt>
                <c:pt idx="3">
                  <c:v>3138716</c:v>
                </c:pt>
                <c:pt idx="4">
                  <c:v>11917965</c:v>
                </c:pt>
                <c:pt idx="5">
                  <c:v>17311518</c:v>
                </c:pt>
                <c:pt idx="6">
                  <c:v>16492223</c:v>
                </c:pt>
                <c:pt idx="7">
                  <c:v>18768492</c:v>
                </c:pt>
                <c:pt idx="8">
                  <c:v>15332797</c:v>
                </c:pt>
                <c:pt idx="9">
                  <c:v>1374814</c:v>
                </c:pt>
                <c:pt idx="10">
                  <c:v>2329239</c:v>
                </c:pt>
                <c:pt idx="11">
                  <c:v>16353213</c:v>
                </c:pt>
                <c:pt idx="12">
                  <c:v>17397070</c:v>
                </c:pt>
                <c:pt idx="13">
                  <c:v>16407691</c:v>
                </c:pt>
                <c:pt idx="14">
                  <c:v>17603218</c:v>
                </c:pt>
                <c:pt idx="15">
                  <c:v>16839963</c:v>
                </c:pt>
                <c:pt idx="16">
                  <c:v>997406</c:v>
                </c:pt>
                <c:pt idx="17">
                  <c:v>240442</c:v>
                </c:pt>
                <c:pt idx="18">
                  <c:v>17565201</c:v>
                </c:pt>
                <c:pt idx="19">
                  <c:v>17765873</c:v>
                </c:pt>
                <c:pt idx="20">
                  <c:v>18049080</c:v>
                </c:pt>
                <c:pt idx="21">
                  <c:v>15177793</c:v>
                </c:pt>
                <c:pt idx="22">
                  <c:v>1393583</c:v>
                </c:pt>
                <c:pt idx="23">
                  <c:v>147522</c:v>
                </c:pt>
                <c:pt idx="24">
                  <c:v>2669499</c:v>
                </c:pt>
                <c:pt idx="25">
                  <c:v>15971852</c:v>
                </c:pt>
                <c:pt idx="26">
                  <c:v>18100810</c:v>
                </c:pt>
                <c:pt idx="27">
                  <c:v>18508939</c:v>
                </c:pt>
                <c:pt idx="28">
                  <c:v>7318924</c:v>
                </c:pt>
                <c:pt idx="29">
                  <c:v>3203056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79-4055-9411-E4CF5D15EE84}"/>
            </c:ext>
          </c:extLst>
        </c:ser>
        <c:ser>
          <c:idx val="3"/>
          <c:order val="2"/>
          <c:tx>
            <c:v>2022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'[1]20-22 비교'!$O$338:$O$369</c:f>
              <c:numCache>
                <c:formatCode>[$-412]mm"-"dd"-"ddd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'[1]20-22 비교'!$U$338:$U$369</c:f>
              <c:numCache>
                <c:formatCode>_("₩"* #,##0_);_("₩"* \(#,##0\);_("₩"* "-"_);_(@_)</c:formatCode>
                <c:ptCount val="32"/>
                <c:pt idx="0">
                  <c:v>6014211</c:v>
                </c:pt>
                <c:pt idx="1">
                  <c:v>3712655</c:v>
                </c:pt>
                <c:pt idx="2">
                  <c:v>1360907</c:v>
                </c:pt>
                <c:pt idx="3">
                  <c:v>2386369</c:v>
                </c:pt>
                <c:pt idx="4">
                  <c:v>6431208</c:v>
                </c:pt>
                <c:pt idx="5">
                  <c:v>7107520</c:v>
                </c:pt>
                <c:pt idx="6">
                  <c:v>7718057</c:v>
                </c:pt>
                <c:pt idx="7">
                  <c:v>8545257</c:v>
                </c:pt>
                <c:pt idx="8">
                  <c:v>10471995</c:v>
                </c:pt>
                <c:pt idx="9">
                  <c:v>1544883</c:v>
                </c:pt>
                <c:pt idx="10">
                  <c:v>1379227</c:v>
                </c:pt>
                <c:pt idx="11">
                  <c:v>12940507</c:v>
                </c:pt>
                <c:pt idx="12">
                  <c:v>12538546</c:v>
                </c:pt>
                <c:pt idx="13">
                  <c:v>12990243</c:v>
                </c:pt>
                <c:pt idx="14">
                  <c:v>13619120</c:v>
                </c:pt>
                <c:pt idx="15">
                  <c:v>15580872</c:v>
                </c:pt>
                <c:pt idx="16">
                  <c:v>748478</c:v>
                </c:pt>
                <c:pt idx="17">
                  <c:v>1649174</c:v>
                </c:pt>
                <c:pt idx="18">
                  <c:v>15639956</c:v>
                </c:pt>
                <c:pt idx="19">
                  <c:v>17201871</c:v>
                </c:pt>
                <c:pt idx="20">
                  <c:v>16641431</c:v>
                </c:pt>
                <c:pt idx="21">
                  <c:v>12228736</c:v>
                </c:pt>
                <c:pt idx="22">
                  <c:v>15684828</c:v>
                </c:pt>
                <c:pt idx="23">
                  <c:v>691733</c:v>
                </c:pt>
                <c:pt idx="24">
                  <c:v>1418070</c:v>
                </c:pt>
                <c:pt idx="25">
                  <c:v>17421292</c:v>
                </c:pt>
                <c:pt idx="26">
                  <c:v>15193534</c:v>
                </c:pt>
                <c:pt idx="27">
                  <c:v>16882398</c:v>
                </c:pt>
                <c:pt idx="28">
                  <c:v>12436165</c:v>
                </c:pt>
                <c:pt idx="29">
                  <c:v>1080700</c:v>
                </c:pt>
                <c:pt idx="30">
                  <c:v>918526</c:v>
                </c:pt>
                <c:pt idx="31">
                  <c:v>2170613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79-4055-9411-E4CF5D15E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9316751"/>
        <c:axId val="1949317167"/>
      </c:lineChart>
      <c:dateAx>
        <c:axId val="1949316751"/>
        <c:scaling>
          <c:orientation val="minMax"/>
          <c:max val="44926"/>
        </c:scaling>
        <c:delete val="0"/>
        <c:axPos val="b"/>
        <c:numFmt formatCode="[$-412]mm&quot;-&quot;dd&quot;-&quot;d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317167"/>
        <c:crosses val="autoZero"/>
        <c:auto val="1"/>
        <c:lblOffset val="100"/>
        <c:baseTimeUnit val="days"/>
      </c:dateAx>
      <c:valAx>
        <c:axId val="194931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₩&quot;* #,##0_);_(&quot;₩&quot;* \(#,##0\);_(&quot;₩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31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머드스콘</a:t>
            </a:r>
            <a:r>
              <a:rPr lang="ko-KR" altLang="en-US" baseline="0"/>
              <a:t> 매출 비교 그래프 </a:t>
            </a:r>
            <a:r>
              <a:rPr lang="en-US" altLang="ko-KR" baseline="0"/>
              <a:t>YoY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3605961062958034E-2"/>
          <c:y val="0.19078703703703703"/>
          <c:w val="0.90962299342271713"/>
          <c:h val="0.48125765529308834"/>
        </c:manualLayout>
      </c:layout>
      <c:lineChart>
        <c:grouping val="standard"/>
        <c:varyColors val="0"/>
        <c:ser>
          <c:idx val="4"/>
          <c:order val="0"/>
          <c:tx>
            <c:v>2023</c:v>
          </c:tx>
          <c:spPr>
            <a:ln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'[1]23~25 비교'!$S$338:$S$370</c:f>
              <c:numCache>
                <c:formatCode>[$-412]mm"-"dd"-"ddd</c:formatCode>
                <c:ptCount val="33"/>
                <c:pt idx="0">
                  <c:v>45991</c:v>
                </c:pt>
                <c:pt idx="1">
                  <c:v>45992</c:v>
                </c:pt>
                <c:pt idx="2">
                  <c:v>45993</c:v>
                </c:pt>
                <c:pt idx="3">
                  <c:v>45994</c:v>
                </c:pt>
                <c:pt idx="4">
                  <c:v>45995</c:v>
                </c:pt>
                <c:pt idx="5">
                  <c:v>45996</c:v>
                </c:pt>
                <c:pt idx="6">
                  <c:v>45997</c:v>
                </c:pt>
                <c:pt idx="7">
                  <c:v>45998</c:v>
                </c:pt>
                <c:pt idx="8">
                  <c:v>45999</c:v>
                </c:pt>
                <c:pt idx="9">
                  <c:v>46000</c:v>
                </c:pt>
                <c:pt idx="10">
                  <c:v>46001</c:v>
                </c:pt>
                <c:pt idx="11">
                  <c:v>46002</c:v>
                </c:pt>
                <c:pt idx="12">
                  <c:v>46003</c:v>
                </c:pt>
                <c:pt idx="13">
                  <c:v>46004</c:v>
                </c:pt>
                <c:pt idx="14">
                  <c:v>46005</c:v>
                </c:pt>
                <c:pt idx="15">
                  <c:v>46006</c:v>
                </c:pt>
                <c:pt idx="16">
                  <c:v>46007</c:v>
                </c:pt>
                <c:pt idx="17">
                  <c:v>46008</c:v>
                </c:pt>
                <c:pt idx="18">
                  <c:v>46009</c:v>
                </c:pt>
                <c:pt idx="19">
                  <c:v>46010</c:v>
                </c:pt>
                <c:pt idx="20">
                  <c:v>46011</c:v>
                </c:pt>
                <c:pt idx="21">
                  <c:v>46012</c:v>
                </c:pt>
                <c:pt idx="22">
                  <c:v>46013</c:v>
                </c:pt>
                <c:pt idx="23">
                  <c:v>46014</c:v>
                </c:pt>
                <c:pt idx="24">
                  <c:v>46015</c:v>
                </c:pt>
                <c:pt idx="25">
                  <c:v>46016</c:v>
                </c:pt>
                <c:pt idx="26">
                  <c:v>46017</c:v>
                </c:pt>
                <c:pt idx="27">
                  <c:v>46018</c:v>
                </c:pt>
                <c:pt idx="28">
                  <c:v>46019</c:v>
                </c:pt>
                <c:pt idx="29">
                  <c:v>46020</c:v>
                </c:pt>
                <c:pt idx="30">
                  <c:v>46021</c:v>
                </c:pt>
                <c:pt idx="31">
                  <c:v>46022</c:v>
                </c:pt>
                <c:pt idx="32">
                  <c:v>46023</c:v>
                </c:pt>
              </c:numCache>
            </c:numRef>
          </c:cat>
          <c:val>
            <c:numRef>
              <c:f>'[1]23~25 비교'!$E$341:$E$370</c:f>
              <c:numCache>
                <c:formatCode>_("₩"* #,##0_);_("₩"* \(#,##0\);_("₩"* "-"_);_(@_)</c:formatCode>
                <c:ptCount val="30"/>
                <c:pt idx="0">
                  <c:v>2743641</c:v>
                </c:pt>
                <c:pt idx="1">
                  <c:v>4511548</c:v>
                </c:pt>
                <c:pt idx="2">
                  <c:v>7986960</c:v>
                </c:pt>
                <c:pt idx="3">
                  <c:v>6268664</c:v>
                </c:pt>
                <c:pt idx="4">
                  <c:v>10464133</c:v>
                </c:pt>
                <c:pt idx="5">
                  <c:v>13131859</c:v>
                </c:pt>
                <c:pt idx="6">
                  <c:v>1024600</c:v>
                </c:pt>
                <c:pt idx="7">
                  <c:v>1300228</c:v>
                </c:pt>
                <c:pt idx="8">
                  <c:v>14125651</c:v>
                </c:pt>
                <c:pt idx="9">
                  <c:v>15374037</c:v>
                </c:pt>
                <c:pt idx="10">
                  <c:v>15554568</c:v>
                </c:pt>
                <c:pt idx="11">
                  <c:v>17099584</c:v>
                </c:pt>
                <c:pt idx="12">
                  <c:v>18634591</c:v>
                </c:pt>
                <c:pt idx="13">
                  <c:v>1433764</c:v>
                </c:pt>
                <c:pt idx="14">
                  <c:v>1188676</c:v>
                </c:pt>
                <c:pt idx="15">
                  <c:v>14138227</c:v>
                </c:pt>
                <c:pt idx="16">
                  <c:v>14284300</c:v>
                </c:pt>
                <c:pt idx="17">
                  <c:v>16314958</c:v>
                </c:pt>
                <c:pt idx="18">
                  <c:v>17260796</c:v>
                </c:pt>
                <c:pt idx="19">
                  <c:v>11284282</c:v>
                </c:pt>
                <c:pt idx="20">
                  <c:v>3776936</c:v>
                </c:pt>
                <c:pt idx="21">
                  <c:v>1723745</c:v>
                </c:pt>
                <c:pt idx="22">
                  <c:v>3416006</c:v>
                </c:pt>
                <c:pt idx="23">
                  <c:v>12042738</c:v>
                </c:pt>
                <c:pt idx="24">
                  <c:v>16947670</c:v>
                </c:pt>
                <c:pt idx="25">
                  <c:v>15737702</c:v>
                </c:pt>
                <c:pt idx="26">
                  <c:v>18557864</c:v>
                </c:pt>
                <c:pt idx="27">
                  <c:v>2753140</c:v>
                </c:pt>
                <c:pt idx="28">
                  <c:v>3720533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76-42B7-B796-18BF54F79888}"/>
            </c:ext>
          </c:extLst>
        </c:ser>
        <c:ser>
          <c:idx val="5"/>
          <c:order val="1"/>
          <c:tx>
            <c:v>2024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'[1]23~25 비교'!$S$338:$S$370</c:f>
              <c:numCache>
                <c:formatCode>[$-412]mm"-"dd"-"ddd</c:formatCode>
                <c:ptCount val="33"/>
                <c:pt idx="0">
                  <c:v>45991</c:v>
                </c:pt>
                <c:pt idx="1">
                  <c:v>45992</c:v>
                </c:pt>
                <c:pt idx="2">
                  <c:v>45993</c:v>
                </c:pt>
                <c:pt idx="3">
                  <c:v>45994</c:v>
                </c:pt>
                <c:pt idx="4">
                  <c:v>45995</c:v>
                </c:pt>
                <c:pt idx="5">
                  <c:v>45996</c:v>
                </c:pt>
                <c:pt idx="6">
                  <c:v>45997</c:v>
                </c:pt>
                <c:pt idx="7">
                  <c:v>45998</c:v>
                </c:pt>
                <c:pt idx="8">
                  <c:v>45999</c:v>
                </c:pt>
                <c:pt idx="9">
                  <c:v>46000</c:v>
                </c:pt>
                <c:pt idx="10">
                  <c:v>46001</c:v>
                </c:pt>
                <c:pt idx="11">
                  <c:v>46002</c:v>
                </c:pt>
                <c:pt idx="12">
                  <c:v>46003</c:v>
                </c:pt>
                <c:pt idx="13">
                  <c:v>46004</c:v>
                </c:pt>
                <c:pt idx="14">
                  <c:v>46005</c:v>
                </c:pt>
                <c:pt idx="15">
                  <c:v>46006</c:v>
                </c:pt>
                <c:pt idx="16">
                  <c:v>46007</c:v>
                </c:pt>
                <c:pt idx="17">
                  <c:v>46008</c:v>
                </c:pt>
                <c:pt idx="18">
                  <c:v>46009</c:v>
                </c:pt>
                <c:pt idx="19">
                  <c:v>46010</c:v>
                </c:pt>
                <c:pt idx="20">
                  <c:v>46011</c:v>
                </c:pt>
                <c:pt idx="21">
                  <c:v>46012</c:v>
                </c:pt>
                <c:pt idx="22">
                  <c:v>46013</c:v>
                </c:pt>
                <c:pt idx="23">
                  <c:v>46014</c:v>
                </c:pt>
                <c:pt idx="24">
                  <c:v>46015</c:v>
                </c:pt>
                <c:pt idx="25">
                  <c:v>46016</c:v>
                </c:pt>
                <c:pt idx="26">
                  <c:v>46017</c:v>
                </c:pt>
                <c:pt idx="27">
                  <c:v>46018</c:v>
                </c:pt>
                <c:pt idx="28">
                  <c:v>46019</c:v>
                </c:pt>
                <c:pt idx="29">
                  <c:v>46020</c:v>
                </c:pt>
                <c:pt idx="30">
                  <c:v>46021</c:v>
                </c:pt>
                <c:pt idx="31">
                  <c:v>46022</c:v>
                </c:pt>
                <c:pt idx="32">
                  <c:v>46023</c:v>
                </c:pt>
              </c:numCache>
            </c:numRef>
          </c:cat>
          <c:val>
            <c:numRef>
              <c:f>'[1]23~25 비교'!$N$340:$N$370</c:f>
              <c:numCache>
                <c:formatCode>_("₩"* #,##0_);_("₩"* \(#,##0\);_("₩"* "-"_);_(@_)</c:formatCode>
                <c:ptCount val="31"/>
                <c:pt idx="0">
                  <c:v>2404891</c:v>
                </c:pt>
                <c:pt idx="1">
                  <c:v>2409714</c:v>
                </c:pt>
                <c:pt idx="2">
                  <c:v>4188096</c:v>
                </c:pt>
                <c:pt idx="3">
                  <c:v>3280464</c:v>
                </c:pt>
                <c:pt idx="4">
                  <c:v>5535935</c:v>
                </c:pt>
                <c:pt idx="5">
                  <c:v>2722336</c:v>
                </c:pt>
                <c:pt idx="6">
                  <c:v>1676259</c:v>
                </c:pt>
                <c:pt idx="7">
                  <c:v>1241077</c:v>
                </c:pt>
                <c:pt idx="8">
                  <c:v>14847920</c:v>
                </c:pt>
                <c:pt idx="9">
                  <c:v>18015927</c:v>
                </c:pt>
                <c:pt idx="10">
                  <c:v>17012875</c:v>
                </c:pt>
                <c:pt idx="11">
                  <c:v>17470185</c:v>
                </c:pt>
                <c:pt idx="12">
                  <c:v>15691277</c:v>
                </c:pt>
                <c:pt idx="13">
                  <c:v>2411518</c:v>
                </c:pt>
                <c:pt idx="14">
                  <c:v>2016879</c:v>
                </c:pt>
                <c:pt idx="15">
                  <c:v>18937116</c:v>
                </c:pt>
                <c:pt idx="16">
                  <c:v>18524158</c:v>
                </c:pt>
                <c:pt idx="17">
                  <c:v>16453321</c:v>
                </c:pt>
                <c:pt idx="18">
                  <c:v>15111911</c:v>
                </c:pt>
                <c:pt idx="19">
                  <c:v>16146050</c:v>
                </c:pt>
                <c:pt idx="20">
                  <c:v>1554388</c:v>
                </c:pt>
                <c:pt idx="21">
                  <c:v>1825041</c:v>
                </c:pt>
                <c:pt idx="22">
                  <c:v>16484372</c:v>
                </c:pt>
                <c:pt idx="23">
                  <c:v>16375147</c:v>
                </c:pt>
                <c:pt idx="24">
                  <c:v>1624950</c:v>
                </c:pt>
                <c:pt idx="25">
                  <c:v>18666099</c:v>
                </c:pt>
                <c:pt idx="26">
                  <c:v>16891952</c:v>
                </c:pt>
                <c:pt idx="27">
                  <c:v>2109048</c:v>
                </c:pt>
                <c:pt idx="28">
                  <c:v>2185720</c:v>
                </c:pt>
                <c:pt idx="29">
                  <c:v>6623647</c:v>
                </c:pt>
                <c:pt idx="30">
                  <c:v>8658628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76-42B7-B796-18BF54F79888}"/>
            </c:ext>
          </c:extLst>
        </c:ser>
        <c:ser>
          <c:idx val="6"/>
          <c:order val="2"/>
          <c:tx>
            <c:v>2025</c:v>
          </c:tx>
          <c:spPr>
            <a:ln>
              <a:solidFill>
                <a:srgbClr val="F15119"/>
              </a:solidFill>
            </a:ln>
          </c:spPr>
          <c:marker>
            <c:symbol val="none"/>
          </c:marker>
          <c:cat>
            <c:numRef>
              <c:f>'[1]23~25 비교'!$S$338:$S$370</c:f>
              <c:numCache>
                <c:formatCode>[$-412]mm"-"dd"-"ddd</c:formatCode>
                <c:ptCount val="33"/>
                <c:pt idx="0">
                  <c:v>45991</c:v>
                </c:pt>
                <c:pt idx="1">
                  <c:v>45992</c:v>
                </c:pt>
                <c:pt idx="2">
                  <c:v>45993</c:v>
                </c:pt>
                <c:pt idx="3">
                  <c:v>45994</c:v>
                </c:pt>
                <c:pt idx="4">
                  <c:v>45995</c:v>
                </c:pt>
                <c:pt idx="5">
                  <c:v>45996</c:v>
                </c:pt>
                <c:pt idx="6">
                  <c:v>45997</c:v>
                </c:pt>
                <c:pt idx="7">
                  <c:v>45998</c:v>
                </c:pt>
                <c:pt idx="8">
                  <c:v>45999</c:v>
                </c:pt>
                <c:pt idx="9">
                  <c:v>46000</c:v>
                </c:pt>
                <c:pt idx="10">
                  <c:v>46001</c:v>
                </c:pt>
                <c:pt idx="11">
                  <c:v>46002</c:v>
                </c:pt>
                <c:pt idx="12">
                  <c:v>46003</c:v>
                </c:pt>
                <c:pt idx="13">
                  <c:v>46004</c:v>
                </c:pt>
                <c:pt idx="14">
                  <c:v>46005</c:v>
                </c:pt>
                <c:pt idx="15">
                  <c:v>46006</c:v>
                </c:pt>
                <c:pt idx="16">
                  <c:v>46007</c:v>
                </c:pt>
                <c:pt idx="17">
                  <c:v>46008</c:v>
                </c:pt>
                <c:pt idx="18">
                  <c:v>46009</c:v>
                </c:pt>
                <c:pt idx="19">
                  <c:v>46010</c:v>
                </c:pt>
                <c:pt idx="20">
                  <c:v>46011</c:v>
                </c:pt>
                <c:pt idx="21">
                  <c:v>46012</c:v>
                </c:pt>
                <c:pt idx="22">
                  <c:v>46013</c:v>
                </c:pt>
                <c:pt idx="23">
                  <c:v>46014</c:v>
                </c:pt>
                <c:pt idx="24">
                  <c:v>46015</c:v>
                </c:pt>
                <c:pt idx="25">
                  <c:v>46016</c:v>
                </c:pt>
                <c:pt idx="26">
                  <c:v>46017</c:v>
                </c:pt>
                <c:pt idx="27">
                  <c:v>46018</c:v>
                </c:pt>
                <c:pt idx="28">
                  <c:v>46019</c:v>
                </c:pt>
                <c:pt idx="29">
                  <c:v>46020</c:v>
                </c:pt>
                <c:pt idx="30">
                  <c:v>46021</c:v>
                </c:pt>
                <c:pt idx="31">
                  <c:v>46022</c:v>
                </c:pt>
                <c:pt idx="32">
                  <c:v>46023</c:v>
                </c:pt>
              </c:numCache>
            </c:numRef>
          </c:cat>
          <c:val>
            <c:numRef>
              <c:f>'[1]23~25 비교'!$W$338:$W$370</c:f>
              <c:numCache>
                <c:formatCode>_("₩"* #,##0_);_("₩"* \(#,##0\);_("₩"* "-"_);_(@_)</c:formatCode>
                <c:ptCount val="33"/>
                <c:pt idx="0">
                  <c:v>18101083</c:v>
                </c:pt>
                <c:pt idx="1">
                  <c:v>712570</c:v>
                </c:pt>
                <c:pt idx="2">
                  <c:v>10516510</c:v>
                </c:pt>
                <c:pt idx="3">
                  <c:v>6667410</c:v>
                </c:pt>
                <c:pt idx="4">
                  <c:v>5706330</c:v>
                </c:pt>
                <c:pt idx="5">
                  <c:v>3402860</c:v>
                </c:pt>
                <c:pt idx="6">
                  <c:v>2297130</c:v>
                </c:pt>
                <c:pt idx="7">
                  <c:v>1332642</c:v>
                </c:pt>
                <c:pt idx="8">
                  <c:v>14833850</c:v>
                </c:pt>
                <c:pt idx="9">
                  <c:v>15842730</c:v>
                </c:pt>
                <c:pt idx="10">
                  <c:v>16458160</c:v>
                </c:pt>
                <c:pt idx="11">
                  <c:v>15907450</c:v>
                </c:pt>
                <c:pt idx="12">
                  <c:v>17139640</c:v>
                </c:pt>
                <c:pt idx="13">
                  <c:v>151140</c:v>
                </c:pt>
                <c:pt idx="14">
                  <c:v>209470</c:v>
                </c:pt>
                <c:pt idx="15">
                  <c:v>15387600</c:v>
                </c:pt>
                <c:pt idx="16">
                  <c:v>19295220</c:v>
                </c:pt>
                <c:pt idx="17">
                  <c:v>19999150</c:v>
                </c:pt>
                <c:pt idx="18">
                  <c:v>18114280</c:v>
                </c:pt>
                <c:pt idx="19">
                  <c:v>19098070</c:v>
                </c:pt>
                <c:pt idx="20">
                  <c:v>167700</c:v>
                </c:pt>
                <c:pt idx="21">
                  <c:v>136550</c:v>
                </c:pt>
                <c:pt idx="22">
                  <c:v>16793630</c:v>
                </c:pt>
                <c:pt idx="23">
                  <c:v>16646960</c:v>
                </c:pt>
                <c:pt idx="24">
                  <c:v>17305460</c:v>
                </c:pt>
                <c:pt idx="25">
                  <c:v>724200</c:v>
                </c:pt>
                <c:pt idx="26">
                  <c:v>15816870</c:v>
                </c:pt>
                <c:pt idx="27">
                  <c:v>255850</c:v>
                </c:pt>
                <c:pt idx="28">
                  <c:v>0</c:v>
                </c:pt>
                <c:pt idx="29">
                  <c:v>15581670</c:v>
                </c:pt>
                <c:pt idx="30">
                  <c:v>14833150</c:v>
                </c:pt>
                <c:pt idx="31">
                  <c:v>12617900</c:v>
                </c:pt>
                <c:pt idx="32">
                  <c:v>205350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76-42B7-B796-18BF54F79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9316751"/>
        <c:axId val="1949317167"/>
        <c:extLst>
          <c:ext xmlns:c15="http://schemas.microsoft.com/office/drawing/2012/chart" uri="{02D57815-91ED-43cb-92C2-25804820EDAC}">
            <c15:filteredLineSeries>
              <c15:ser>
                <c:idx val="7"/>
                <c:order val="3"/>
                <c:tx>
                  <c:v>Oatter(단독매출)</c:v>
                </c:tx>
                <c:spPr>
                  <a:ln w="28575" cap="rnd">
                    <a:solidFill>
                      <a:srgbClr val="707BD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'[1]23~25 비교'!$S$338:$S$370</c15:sqref>
                        </c15:formulaRef>
                      </c:ext>
                    </c:extLst>
                    <c:numCache>
                      <c:formatCode>[$-412]mm"-"dd"-"ddd</c:formatCode>
                      <c:ptCount val="33"/>
                      <c:pt idx="0">
                        <c:v>45991</c:v>
                      </c:pt>
                      <c:pt idx="1">
                        <c:v>45992</c:v>
                      </c:pt>
                      <c:pt idx="2">
                        <c:v>45993</c:v>
                      </c:pt>
                      <c:pt idx="3">
                        <c:v>45994</c:v>
                      </c:pt>
                      <c:pt idx="4">
                        <c:v>45995</c:v>
                      </c:pt>
                      <c:pt idx="5">
                        <c:v>45996</c:v>
                      </c:pt>
                      <c:pt idx="6">
                        <c:v>45997</c:v>
                      </c:pt>
                      <c:pt idx="7">
                        <c:v>45998</c:v>
                      </c:pt>
                      <c:pt idx="8">
                        <c:v>45999</c:v>
                      </c:pt>
                      <c:pt idx="9">
                        <c:v>46000</c:v>
                      </c:pt>
                      <c:pt idx="10">
                        <c:v>46001</c:v>
                      </c:pt>
                      <c:pt idx="11">
                        <c:v>46002</c:v>
                      </c:pt>
                      <c:pt idx="12">
                        <c:v>46003</c:v>
                      </c:pt>
                      <c:pt idx="13">
                        <c:v>46004</c:v>
                      </c:pt>
                      <c:pt idx="14">
                        <c:v>46005</c:v>
                      </c:pt>
                      <c:pt idx="15">
                        <c:v>46006</c:v>
                      </c:pt>
                      <c:pt idx="16">
                        <c:v>46007</c:v>
                      </c:pt>
                      <c:pt idx="17">
                        <c:v>46008</c:v>
                      </c:pt>
                      <c:pt idx="18">
                        <c:v>46009</c:v>
                      </c:pt>
                      <c:pt idx="19">
                        <c:v>46010</c:v>
                      </c:pt>
                      <c:pt idx="20">
                        <c:v>46011</c:v>
                      </c:pt>
                      <c:pt idx="21">
                        <c:v>46012</c:v>
                      </c:pt>
                      <c:pt idx="22">
                        <c:v>46013</c:v>
                      </c:pt>
                      <c:pt idx="23">
                        <c:v>46014</c:v>
                      </c:pt>
                      <c:pt idx="24">
                        <c:v>46015</c:v>
                      </c:pt>
                      <c:pt idx="25">
                        <c:v>46016</c:v>
                      </c:pt>
                      <c:pt idx="26">
                        <c:v>46017</c:v>
                      </c:pt>
                      <c:pt idx="27">
                        <c:v>46018</c:v>
                      </c:pt>
                      <c:pt idx="28">
                        <c:v>46019</c:v>
                      </c:pt>
                      <c:pt idx="29">
                        <c:v>46020</c:v>
                      </c:pt>
                      <c:pt idx="30">
                        <c:v>46021</c:v>
                      </c:pt>
                      <c:pt idx="31">
                        <c:v>46022</c:v>
                      </c:pt>
                      <c:pt idx="32">
                        <c:v>46023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'[1]23~25 비교'!$O$186:$O$218</c15:sqref>
                        </c15:formulaRef>
                      </c:ext>
                    </c:extLst>
                    <c:numCache>
                      <c:formatCode>_("₩"* #,##0_);_("₩"* \(#,##0\);_("₩"* "-"_);_(@_)</c:formatCode>
                      <c:ptCount val="33"/>
                      <c:pt idx="0">
                        <c:v>3277940</c:v>
                      </c:pt>
                      <c:pt idx="1">
                        <c:v>3087140</c:v>
                      </c:pt>
                      <c:pt idx="2">
                        <c:v>2650460</c:v>
                      </c:pt>
                      <c:pt idx="3">
                        <c:v>1386170</c:v>
                      </c:pt>
                      <c:pt idx="4">
                        <c:v>1320360</c:v>
                      </c:pt>
                      <c:pt idx="5">
                        <c:v>781100</c:v>
                      </c:pt>
                      <c:pt idx="6">
                        <c:v>745140</c:v>
                      </c:pt>
                      <c:pt idx="7">
                        <c:v>930120</c:v>
                      </c:pt>
                      <c:pt idx="8">
                        <c:v>1436700</c:v>
                      </c:pt>
                      <c:pt idx="9">
                        <c:v>1780900</c:v>
                      </c:pt>
                      <c:pt idx="10">
                        <c:v>1509180</c:v>
                      </c:pt>
                      <c:pt idx="11">
                        <c:v>1500680</c:v>
                      </c:pt>
                      <c:pt idx="12">
                        <c:v>939880</c:v>
                      </c:pt>
                      <c:pt idx="13">
                        <c:v>538440</c:v>
                      </c:pt>
                      <c:pt idx="14">
                        <c:v>895400</c:v>
                      </c:pt>
                      <c:pt idx="15">
                        <c:v>1868420</c:v>
                      </c:pt>
                      <c:pt idx="16">
                        <c:v>1376340</c:v>
                      </c:pt>
                      <c:pt idx="17">
                        <c:v>2726460</c:v>
                      </c:pt>
                      <c:pt idx="18">
                        <c:v>2071260</c:v>
                      </c:pt>
                      <c:pt idx="19">
                        <c:v>976340</c:v>
                      </c:pt>
                      <c:pt idx="20">
                        <c:v>951150</c:v>
                      </c:pt>
                      <c:pt idx="21">
                        <c:v>1481710</c:v>
                      </c:pt>
                      <c:pt idx="22">
                        <c:v>1506240</c:v>
                      </c:pt>
                      <c:pt idx="23">
                        <c:v>1867730</c:v>
                      </c:pt>
                      <c:pt idx="24">
                        <c:v>869910</c:v>
                      </c:pt>
                      <c:pt idx="25">
                        <c:v>765110</c:v>
                      </c:pt>
                      <c:pt idx="26">
                        <c:v>1305300</c:v>
                      </c:pt>
                      <c:pt idx="27">
                        <c:v>897570</c:v>
                      </c:pt>
                      <c:pt idx="28">
                        <c:v>629380</c:v>
                      </c:pt>
                      <c:pt idx="29">
                        <c:v>1529730</c:v>
                      </c:pt>
                      <c:pt idx="30">
                        <c:v>1727700</c:v>
                      </c:pt>
                      <c:pt idx="31">
                        <c:v>1072060</c:v>
                      </c:pt>
                      <c:pt idx="32">
                        <c:v>1623380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876-42B7-B796-18BF54F79888}"/>
                  </c:ext>
                </c:extLst>
              </c15:ser>
            </c15:filteredLineSeries>
          </c:ext>
        </c:extLst>
      </c:lineChart>
      <c:dateAx>
        <c:axId val="1949316751"/>
        <c:scaling>
          <c:orientation val="minMax"/>
          <c:max val="46023"/>
          <c:min val="45991"/>
        </c:scaling>
        <c:delete val="0"/>
        <c:axPos val="b"/>
        <c:numFmt formatCode="[$-412]mm&quot;-&quot;dd&quot;-&quot;d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317167"/>
        <c:crosses val="autoZero"/>
        <c:auto val="1"/>
        <c:lblOffset val="100"/>
        <c:baseTimeUnit val="days"/>
      </c:dateAx>
      <c:valAx>
        <c:axId val="1949317167"/>
        <c:scaling>
          <c:orientation val="minMax"/>
          <c:max val="4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₩&quot;* #,##0_);_(&quot;₩&quot;* \(#,##0\);_(&quot;₩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316751"/>
        <c:crosses val="autoZero"/>
        <c:crossBetween val="between"/>
      </c:valAx>
    </c:plotArea>
    <c:legend>
      <c:legendPos val="b"/>
      <c:overlay val="0"/>
      <c:spPr>
        <a:noFill/>
        <a:ln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aseline="0"/>
              <a:t>오터 매출 비교 그래프 </a:t>
            </a:r>
            <a:r>
              <a:rPr lang="en-US" altLang="ko-KR" baseline="0"/>
              <a:t>YoY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9230395109781374E-2"/>
          <c:y val="0.19078703703703703"/>
          <c:w val="0.90962299342271713"/>
          <c:h val="0.48125765529308834"/>
        </c:manualLayout>
      </c:layout>
      <c:lineChart>
        <c:grouping val="standard"/>
        <c:varyColors val="0"/>
        <c:ser>
          <c:idx val="5"/>
          <c:order val="0"/>
          <c:tx>
            <c:v>2023</c:v>
          </c:tx>
          <c:spPr>
            <a:ln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'[1]23~25 비교'!$S$338:$S$370</c:f>
              <c:numCache>
                <c:formatCode>[$-412]mm"-"dd"-"ddd</c:formatCode>
                <c:ptCount val="33"/>
                <c:pt idx="0">
                  <c:v>45991</c:v>
                </c:pt>
                <c:pt idx="1">
                  <c:v>45992</c:v>
                </c:pt>
                <c:pt idx="2">
                  <c:v>45993</c:v>
                </c:pt>
                <c:pt idx="3">
                  <c:v>45994</c:v>
                </c:pt>
                <c:pt idx="4">
                  <c:v>45995</c:v>
                </c:pt>
                <c:pt idx="5">
                  <c:v>45996</c:v>
                </c:pt>
                <c:pt idx="6">
                  <c:v>45997</c:v>
                </c:pt>
                <c:pt idx="7">
                  <c:v>45998</c:v>
                </c:pt>
                <c:pt idx="8">
                  <c:v>45999</c:v>
                </c:pt>
                <c:pt idx="9">
                  <c:v>46000</c:v>
                </c:pt>
                <c:pt idx="10">
                  <c:v>46001</c:v>
                </c:pt>
                <c:pt idx="11">
                  <c:v>46002</c:v>
                </c:pt>
                <c:pt idx="12">
                  <c:v>46003</c:v>
                </c:pt>
                <c:pt idx="13">
                  <c:v>46004</c:v>
                </c:pt>
                <c:pt idx="14">
                  <c:v>46005</c:v>
                </c:pt>
                <c:pt idx="15">
                  <c:v>46006</c:v>
                </c:pt>
                <c:pt idx="16">
                  <c:v>46007</c:v>
                </c:pt>
                <c:pt idx="17">
                  <c:v>46008</c:v>
                </c:pt>
                <c:pt idx="18">
                  <c:v>46009</c:v>
                </c:pt>
                <c:pt idx="19">
                  <c:v>46010</c:v>
                </c:pt>
                <c:pt idx="20">
                  <c:v>46011</c:v>
                </c:pt>
                <c:pt idx="21">
                  <c:v>46012</c:v>
                </c:pt>
                <c:pt idx="22">
                  <c:v>46013</c:v>
                </c:pt>
                <c:pt idx="23">
                  <c:v>46014</c:v>
                </c:pt>
                <c:pt idx="24">
                  <c:v>46015</c:v>
                </c:pt>
                <c:pt idx="25">
                  <c:v>46016</c:v>
                </c:pt>
                <c:pt idx="26">
                  <c:v>46017</c:v>
                </c:pt>
                <c:pt idx="27">
                  <c:v>46018</c:v>
                </c:pt>
                <c:pt idx="28">
                  <c:v>46019</c:v>
                </c:pt>
                <c:pt idx="29">
                  <c:v>46020</c:v>
                </c:pt>
                <c:pt idx="30">
                  <c:v>46021</c:v>
                </c:pt>
                <c:pt idx="31">
                  <c:v>46022</c:v>
                </c:pt>
                <c:pt idx="32">
                  <c:v>46023</c:v>
                </c:pt>
              </c:numCache>
            </c:numRef>
          </c:cat>
          <c:val>
            <c:numRef>
              <c:f>'[1]23~25 비교'!$F$341:$F$370</c:f>
              <c:numCache>
                <c:formatCode>_("₩"* #,##0_);_("₩"* \(#,##0\);_("₩"* "-"_);_(@_)</c:formatCode>
                <c:ptCount val="30"/>
                <c:pt idx="0">
                  <c:v>1206950</c:v>
                </c:pt>
                <c:pt idx="1">
                  <c:v>1228860</c:v>
                </c:pt>
                <c:pt idx="2">
                  <c:v>1026793</c:v>
                </c:pt>
                <c:pt idx="3">
                  <c:v>723920</c:v>
                </c:pt>
                <c:pt idx="4">
                  <c:v>878230</c:v>
                </c:pt>
                <c:pt idx="5">
                  <c:v>546420</c:v>
                </c:pt>
                <c:pt idx="6">
                  <c:v>671720</c:v>
                </c:pt>
                <c:pt idx="7">
                  <c:v>864130</c:v>
                </c:pt>
                <c:pt idx="8">
                  <c:v>753480</c:v>
                </c:pt>
                <c:pt idx="9">
                  <c:v>756140</c:v>
                </c:pt>
                <c:pt idx="10">
                  <c:v>780640</c:v>
                </c:pt>
                <c:pt idx="11">
                  <c:v>187000</c:v>
                </c:pt>
                <c:pt idx="12">
                  <c:v>328160</c:v>
                </c:pt>
                <c:pt idx="13">
                  <c:v>371680</c:v>
                </c:pt>
                <c:pt idx="14">
                  <c:v>635470</c:v>
                </c:pt>
                <c:pt idx="15">
                  <c:v>1368320</c:v>
                </c:pt>
                <c:pt idx="16">
                  <c:v>816700</c:v>
                </c:pt>
                <c:pt idx="17">
                  <c:v>1341120</c:v>
                </c:pt>
                <c:pt idx="18">
                  <c:v>1126640</c:v>
                </c:pt>
                <c:pt idx="19">
                  <c:v>941810</c:v>
                </c:pt>
                <c:pt idx="20">
                  <c:v>335780</c:v>
                </c:pt>
                <c:pt idx="21">
                  <c:v>184400</c:v>
                </c:pt>
                <c:pt idx="22">
                  <c:v>747030</c:v>
                </c:pt>
                <c:pt idx="23">
                  <c:v>963810</c:v>
                </c:pt>
                <c:pt idx="24">
                  <c:v>644519</c:v>
                </c:pt>
                <c:pt idx="25">
                  <c:v>1080446</c:v>
                </c:pt>
                <c:pt idx="26">
                  <c:v>441010</c:v>
                </c:pt>
                <c:pt idx="27">
                  <c:v>412120</c:v>
                </c:pt>
                <c:pt idx="28">
                  <c:v>664290</c:v>
                </c:pt>
                <c:pt idx="29">
                  <c:v>1378680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DA-44D9-86C4-A03CC2A4E1BF}"/>
            </c:ext>
          </c:extLst>
        </c:ser>
        <c:ser>
          <c:idx val="6"/>
          <c:order val="1"/>
          <c:tx>
            <c:v>2024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'[1]23~25 비교'!$S$338:$S$370</c:f>
              <c:numCache>
                <c:formatCode>[$-412]mm"-"dd"-"ddd</c:formatCode>
                <c:ptCount val="33"/>
                <c:pt idx="0">
                  <c:v>45991</c:v>
                </c:pt>
                <c:pt idx="1">
                  <c:v>45992</c:v>
                </c:pt>
                <c:pt idx="2">
                  <c:v>45993</c:v>
                </c:pt>
                <c:pt idx="3">
                  <c:v>45994</c:v>
                </c:pt>
                <c:pt idx="4">
                  <c:v>45995</c:v>
                </c:pt>
                <c:pt idx="5">
                  <c:v>45996</c:v>
                </c:pt>
                <c:pt idx="6">
                  <c:v>45997</c:v>
                </c:pt>
                <c:pt idx="7">
                  <c:v>45998</c:v>
                </c:pt>
                <c:pt idx="8">
                  <c:v>45999</c:v>
                </c:pt>
                <c:pt idx="9">
                  <c:v>46000</c:v>
                </c:pt>
                <c:pt idx="10">
                  <c:v>46001</c:v>
                </c:pt>
                <c:pt idx="11">
                  <c:v>46002</c:v>
                </c:pt>
                <c:pt idx="12">
                  <c:v>46003</c:v>
                </c:pt>
                <c:pt idx="13">
                  <c:v>46004</c:v>
                </c:pt>
                <c:pt idx="14">
                  <c:v>46005</c:v>
                </c:pt>
                <c:pt idx="15">
                  <c:v>46006</c:v>
                </c:pt>
                <c:pt idx="16">
                  <c:v>46007</c:v>
                </c:pt>
                <c:pt idx="17">
                  <c:v>46008</c:v>
                </c:pt>
                <c:pt idx="18">
                  <c:v>46009</c:v>
                </c:pt>
                <c:pt idx="19">
                  <c:v>46010</c:v>
                </c:pt>
                <c:pt idx="20">
                  <c:v>46011</c:v>
                </c:pt>
                <c:pt idx="21">
                  <c:v>46012</c:v>
                </c:pt>
                <c:pt idx="22">
                  <c:v>46013</c:v>
                </c:pt>
                <c:pt idx="23">
                  <c:v>46014</c:v>
                </c:pt>
                <c:pt idx="24">
                  <c:v>46015</c:v>
                </c:pt>
                <c:pt idx="25">
                  <c:v>46016</c:v>
                </c:pt>
                <c:pt idx="26">
                  <c:v>46017</c:v>
                </c:pt>
                <c:pt idx="27">
                  <c:v>46018</c:v>
                </c:pt>
                <c:pt idx="28">
                  <c:v>46019</c:v>
                </c:pt>
                <c:pt idx="29">
                  <c:v>46020</c:v>
                </c:pt>
                <c:pt idx="30">
                  <c:v>46021</c:v>
                </c:pt>
                <c:pt idx="31">
                  <c:v>46022</c:v>
                </c:pt>
                <c:pt idx="32">
                  <c:v>46023</c:v>
                </c:pt>
              </c:numCache>
            </c:numRef>
          </c:cat>
          <c:val>
            <c:numRef>
              <c:f>'[1]23~25 비교'!$O$340:$O$370</c:f>
              <c:numCache>
                <c:formatCode>_("₩"* #,##0_);_("₩"* \(#,##0\);_("₩"* "-"_);_(@_)</c:formatCode>
                <c:ptCount val="31"/>
                <c:pt idx="0">
                  <c:v>134570</c:v>
                </c:pt>
                <c:pt idx="1">
                  <c:v>494032</c:v>
                </c:pt>
                <c:pt idx="2">
                  <c:v>185860</c:v>
                </c:pt>
                <c:pt idx="3">
                  <c:v>366470</c:v>
                </c:pt>
                <c:pt idx="4">
                  <c:v>181600</c:v>
                </c:pt>
                <c:pt idx="5">
                  <c:v>333920</c:v>
                </c:pt>
                <c:pt idx="6">
                  <c:v>112180</c:v>
                </c:pt>
                <c:pt idx="7">
                  <c:v>455860</c:v>
                </c:pt>
                <c:pt idx="8">
                  <c:v>224530</c:v>
                </c:pt>
                <c:pt idx="9">
                  <c:v>399150</c:v>
                </c:pt>
                <c:pt idx="10">
                  <c:v>650400</c:v>
                </c:pt>
                <c:pt idx="11">
                  <c:v>590840</c:v>
                </c:pt>
                <c:pt idx="12">
                  <c:v>780730</c:v>
                </c:pt>
                <c:pt idx="13">
                  <c:v>265890</c:v>
                </c:pt>
                <c:pt idx="14">
                  <c:v>223630</c:v>
                </c:pt>
                <c:pt idx="15">
                  <c:v>3285540</c:v>
                </c:pt>
                <c:pt idx="16">
                  <c:v>1308980</c:v>
                </c:pt>
                <c:pt idx="17">
                  <c:v>1500650</c:v>
                </c:pt>
                <c:pt idx="18">
                  <c:v>885480</c:v>
                </c:pt>
                <c:pt idx="19">
                  <c:v>777910</c:v>
                </c:pt>
                <c:pt idx="20">
                  <c:v>430540</c:v>
                </c:pt>
                <c:pt idx="21">
                  <c:v>734050</c:v>
                </c:pt>
                <c:pt idx="22">
                  <c:v>1272560</c:v>
                </c:pt>
                <c:pt idx="23">
                  <c:v>869020</c:v>
                </c:pt>
                <c:pt idx="24">
                  <c:v>989990</c:v>
                </c:pt>
                <c:pt idx="25">
                  <c:v>869760</c:v>
                </c:pt>
                <c:pt idx="26">
                  <c:v>1680780</c:v>
                </c:pt>
                <c:pt idx="27">
                  <c:v>443000</c:v>
                </c:pt>
                <c:pt idx="28">
                  <c:v>297370</c:v>
                </c:pt>
                <c:pt idx="29">
                  <c:v>260520</c:v>
                </c:pt>
                <c:pt idx="30">
                  <c:v>305810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DA-44D9-86C4-A03CC2A4E1BF}"/>
            </c:ext>
          </c:extLst>
        </c:ser>
        <c:ser>
          <c:idx val="0"/>
          <c:order val="2"/>
          <c:tx>
            <c:v>2025</c:v>
          </c:tx>
          <c:spPr>
            <a:ln>
              <a:solidFill>
                <a:srgbClr val="707BD5"/>
              </a:solidFill>
            </a:ln>
          </c:spPr>
          <c:marker>
            <c:symbol val="none"/>
          </c:marker>
          <c:cat>
            <c:numRef>
              <c:f>'[1]23~25 비교'!$S$338:$S$370</c:f>
              <c:numCache>
                <c:formatCode>[$-412]mm"-"dd"-"ddd</c:formatCode>
                <c:ptCount val="33"/>
                <c:pt idx="0">
                  <c:v>45991</c:v>
                </c:pt>
                <c:pt idx="1">
                  <c:v>45992</c:v>
                </c:pt>
                <c:pt idx="2">
                  <c:v>45993</c:v>
                </c:pt>
                <c:pt idx="3">
                  <c:v>45994</c:v>
                </c:pt>
                <c:pt idx="4">
                  <c:v>45995</c:v>
                </c:pt>
                <c:pt idx="5">
                  <c:v>45996</c:v>
                </c:pt>
                <c:pt idx="6">
                  <c:v>45997</c:v>
                </c:pt>
                <c:pt idx="7">
                  <c:v>45998</c:v>
                </c:pt>
                <c:pt idx="8">
                  <c:v>45999</c:v>
                </c:pt>
                <c:pt idx="9">
                  <c:v>46000</c:v>
                </c:pt>
                <c:pt idx="10">
                  <c:v>46001</c:v>
                </c:pt>
                <c:pt idx="11">
                  <c:v>46002</c:v>
                </c:pt>
                <c:pt idx="12">
                  <c:v>46003</c:v>
                </c:pt>
                <c:pt idx="13">
                  <c:v>46004</c:v>
                </c:pt>
                <c:pt idx="14">
                  <c:v>46005</c:v>
                </c:pt>
                <c:pt idx="15">
                  <c:v>46006</c:v>
                </c:pt>
                <c:pt idx="16">
                  <c:v>46007</c:v>
                </c:pt>
                <c:pt idx="17">
                  <c:v>46008</c:v>
                </c:pt>
                <c:pt idx="18">
                  <c:v>46009</c:v>
                </c:pt>
                <c:pt idx="19">
                  <c:v>46010</c:v>
                </c:pt>
                <c:pt idx="20">
                  <c:v>46011</c:v>
                </c:pt>
                <c:pt idx="21">
                  <c:v>46012</c:v>
                </c:pt>
                <c:pt idx="22">
                  <c:v>46013</c:v>
                </c:pt>
                <c:pt idx="23">
                  <c:v>46014</c:v>
                </c:pt>
                <c:pt idx="24">
                  <c:v>46015</c:v>
                </c:pt>
                <c:pt idx="25">
                  <c:v>46016</c:v>
                </c:pt>
                <c:pt idx="26">
                  <c:v>46017</c:v>
                </c:pt>
                <c:pt idx="27">
                  <c:v>46018</c:v>
                </c:pt>
                <c:pt idx="28">
                  <c:v>46019</c:v>
                </c:pt>
                <c:pt idx="29">
                  <c:v>46020</c:v>
                </c:pt>
                <c:pt idx="30">
                  <c:v>46021</c:v>
                </c:pt>
                <c:pt idx="31">
                  <c:v>46022</c:v>
                </c:pt>
                <c:pt idx="32">
                  <c:v>46023</c:v>
                </c:pt>
              </c:numCache>
            </c:numRef>
          </c:cat>
          <c:val>
            <c:numRef>
              <c:f>'[1]23~25 비교'!$Z$338:$Z$370</c:f>
              <c:numCache>
                <c:formatCode>_("₩"* #,##0_);_("₩"* \(#,##0\);_("₩"* "-"_);_(@_)</c:formatCode>
                <c:ptCount val="33"/>
                <c:pt idx="0">
                  <c:v>1092350</c:v>
                </c:pt>
                <c:pt idx="1">
                  <c:v>1374160</c:v>
                </c:pt>
                <c:pt idx="2">
                  <c:v>1802865</c:v>
                </c:pt>
                <c:pt idx="3">
                  <c:v>1513335</c:v>
                </c:pt>
                <c:pt idx="4">
                  <c:v>690735</c:v>
                </c:pt>
                <c:pt idx="5">
                  <c:v>1440184</c:v>
                </c:pt>
                <c:pt idx="6">
                  <c:v>812110</c:v>
                </c:pt>
                <c:pt idx="7">
                  <c:v>2461030</c:v>
                </c:pt>
                <c:pt idx="8">
                  <c:v>440750</c:v>
                </c:pt>
                <c:pt idx="9">
                  <c:v>588180</c:v>
                </c:pt>
                <c:pt idx="10">
                  <c:v>530970</c:v>
                </c:pt>
                <c:pt idx="11">
                  <c:v>1168835</c:v>
                </c:pt>
                <c:pt idx="12">
                  <c:v>489620</c:v>
                </c:pt>
                <c:pt idx="13">
                  <c:v>275280</c:v>
                </c:pt>
                <c:pt idx="14">
                  <c:v>639065</c:v>
                </c:pt>
                <c:pt idx="15">
                  <c:v>3462615</c:v>
                </c:pt>
                <c:pt idx="16">
                  <c:v>3102675</c:v>
                </c:pt>
                <c:pt idx="17">
                  <c:v>2659920</c:v>
                </c:pt>
                <c:pt idx="18">
                  <c:v>1402645</c:v>
                </c:pt>
                <c:pt idx="19">
                  <c:v>788785</c:v>
                </c:pt>
                <c:pt idx="20">
                  <c:v>294810</c:v>
                </c:pt>
                <c:pt idx="21">
                  <c:v>797455</c:v>
                </c:pt>
                <c:pt idx="22">
                  <c:v>1415265</c:v>
                </c:pt>
                <c:pt idx="23">
                  <c:v>1779335</c:v>
                </c:pt>
                <c:pt idx="24">
                  <c:v>925825</c:v>
                </c:pt>
                <c:pt idx="25">
                  <c:v>924785</c:v>
                </c:pt>
                <c:pt idx="26">
                  <c:v>1199080</c:v>
                </c:pt>
                <c:pt idx="27">
                  <c:v>1189065</c:v>
                </c:pt>
                <c:pt idx="28">
                  <c:v>1599020</c:v>
                </c:pt>
                <c:pt idx="29">
                  <c:v>723065</c:v>
                </c:pt>
                <c:pt idx="30">
                  <c:v>992730</c:v>
                </c:pt>
                <c:pt idx="31">
                  <c:v>530210</c:v>
                </c:pt>
                <c:pt idx="32">
                  <c:v>828150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DA-44D9-86C4-A03CC2A4E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9316751"/>
        <c:axId val="1949317167"/>
      </c:lineChart>
      <c:dateAx>
        <c:axId val="1949316751"/>
        <c:scaling>
          <c:orientation val="minMax"/>
          <c:max val="46023"/>
          <c:min val="45991"/>
        </c:scaling>
        <c:delete val="0"/>
        <c:axPos val="b"/>
        <c:numFmt formatCode="[$-412]mm&quot;-&quot;dd&quot;-&quot;d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317167"/>
        <c:crosses val="autoZero"/>
        <c:auto val="1"/>
        <c:lblOffset val="100"/>
        <c:baseTimeUnit val="days"/>
      </c:dateAx>
      <c:valAx>
        <c:axId val="1949317167"/>
        <c:scaling>
          <c:orientation val="minMax"/>
          <c:max val="5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₩&quot;* #,##0_);_(&quot;₩&quot;* \(#,##0\);_(&quot;₩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316751"/>
        <c:crosses val="autoZero"/>
        <c:crossBetween val="between"/>
        <c:majorUnit val="1000000"/>
        <c:minorUnit val="100000"/>
      </c:valAx>
    </c:plotArea>
    <c:legend>
      <c:legendPos val="b"/>
      <c:overlay val="0"/>
      <c:spPr>
        <a:noFill/>
        <a:ln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aseline="0"/>
              <a:t>위시 매출 비교 그래프 </a:t>
            </a:r>
            <a:r>
              <a:rPr lang="en-US" altLang="ko-KR" baseline="0"/>
              <a:t>YoY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9230395109781374E-2"/>
          <c:y val="0.19078703703703703"/>
          <c:w val="0.90962299342271713"/>
          <c:h val="0.48125765529308834"/>
        </c:manualLayout>
      </c:layout>
      <c:lineChart>
        <c:grouping val="standard"/>
        <c:varyColors val="0"/>
        <c:ser>
          <c:idx val="0"/>
          <c:order val="2"/>
          <c:tx>
            <c:v>2025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'[1]23~25 비교'!$S$338:$S$370</c:f>
              <c:numCache>
                <c:formatCode>[$-412]mm"-"dd"-"ddd</c:formatCode>
                <c:ptCount val="33"/>
                <c:pt idx="0">
                  <c:v>45991</c:v>
                </c:pt>
                <c:pt idx="1">
                  <c:v>45992</c:v>
                </c:pt>
                <c:pt idx="2">
                  <c:v>45993</c:v>
                </c:pt>
                <c:pt idx="3">
                  <c:v>45994</c:v>
                </c:pt>
                <c:pt idx="4">
                  <c:v>45995</c:v>
                </c:pt>
                <c:pt idx="5">
                  <c:v>45996</c:v>
                </c:pt>
                <c:pt idx="6">
                  <c:v>45997</c:v>
                </c:pt>
                <c:pt idx="7">
                  <c:v>45998</c:v>
                </c:pt>
                <c:pt idx="8">
                  <c:v>45999</c:v>
                </c:pt>
                <c:pt idx="9">
                  <c:v>46000</c:v>
                </c:pt>
                <c:pt idx="10">
                  <c:v>46001</c:v>
                </c:pt>
                <c:pt idx="11">
                  <c:v>46002</c:v>
                </c:pt>
                <c:pt idx="12">
                  <c:v>46003</c:v>
                </c:pt>
                <c:pt idx="13">
                  <c:v>46004</c:v>
                </c:pt>
                <c:pt idx="14">
                  <c:v>46005</c:v>
                </c:pt>
                <c:pt idx="15">
                  <c:v>46006</c:v>
                </c:pt>
                <c:pt idx="16">
                  <c:v>46007</c:v>
                </c:pt>
                <c:pt idx="17">
                  <c:v>46008</c:v>
                </c:pt>
                <c:pt idx="18">
                  <c:v>46009</c:v>
                </c:pt>
                <c:pt idx="19">
                  <c:v>46010</c:v>
                </c:pt>
                <c:pt idx="20">
                  <c:v>46011</c:v>
                </c:pt>
                <c:pt idx="21">
                  <c:v>46012</c:v>
                </c:pt>
                <c:pt idx="22">
                  <c:v>46013</c:v>
                </c:pt>
                <c:pt idx="23">
                  <c:v>46014</c:v>
                </c:pt>
                <c:pt idx="24">
                  <c:v>46015</c:v>
                </c:pt>
                <c:pt idx="25">
                  <c:v>46016</c:v>
                </c:pt>
                <c:pt idx="26">
                  <c:v>46017</c:v>
                </c:pt>
                <c:pt idx="27">
                  <c:v>46018</c:v>
                </c:pt>
                <c:pt idx="28">
                  <c:v>46019</c:v>
                </c:pt>
                <c:pt idx="29">
                  <c:v>46020</c:v>
                </c:pt>
                <c:pt idx="30">
                  <c:v>46021</c:v>
                </c:pt>
                <c:pt idx="31">
                  <c:v>46022</c:v>
                </c:pt>
                <c:pt idx="32">
                  <c:v>46023</c:v>
                </c:pt>
              </c:numCache>
            </c:numRef>
          </c:cat>
          <c:val>
            <c:numRef>
              <c:f>'[1]23~25 비교'!$AA$338:$AA$370</c:f>
              <c:numCache>
                <c:formatCode>_("₩"* #,##0_);_("₩"* \(#,##0\);_("₩"* "-"_);_(@_)</c:formatCode>
                <c:ptCount val="33"/>
                <c:pt idx="0">
                  <c:v>79900</c:v>
                </c:pt>
                <c:pt idx="1">
                  <c:v>50000</c:v>
                </c:pt>
                <c:pt idx="2">
                  <c:v>103000</c:v>
                </c:pt>
                <c:pt idx="3">
                  <c:v>147000</c:v>
                </c:pt>
                <c:pt idx="4">
                  <c:v>77550</c:v>
                </c:pt>
                <c:pt idx="5">
                  <c:v>87500</c:v>
                </c:pt>
                <c:pt idx="6">
                  <c:v>149760</c:v>
                </c:pt>
                <c:pt idx="7">
                  <c:v>42500</c:v>
                </c:pt>
                <c:pt idx="8">
                  <c:v>112500</c:v>
                </c:pt>
                <c:pt idx="9">
                  <c:v>190780</c:v>
                </c:pt>
                <c:pt idx="10">
                  <c:v>112500</c:v>
                </c:pt>
                <c:pt idx="11">
                  <c:v>153030</c:v>
                </c:pt>
                <c:pt idx="12">
                  <c:v>25000</c:v>
                </c:pt>
                <c:pt idx="13">
                  <c:v>28350</c:v>
                </c:pt>
                <c:pt idx="14">
                  <c:v>41000</c:v>
                </c:pt>
                <c:pt idx="15">
                  <c:v>287060</c:v>
                </c:pt>
                <c:pt idx="16">
                  <c:v>135560</c:v>
                </c:pt>
                <c:pt idx="17">
                  <c:v>97560</c:v>
                </c:pt>
                <c:pt idx="18">
                  <c:v>119520</c:v>
                </c:pt>
                <c:pt idx="19">
                  <c:v>25000</c:v>
                </c:pt>
                <c:pt idx="20">
                  <c:v>90550</c:v>
                </c:pt>
                <c:pt idx="21">
                  <c:v>25000</c:v>
                </c:pt>
                <c:pt idx="22">
                  <c:v>63500</c:v>
                </c:pt>
                <c:pt idx="23">
                  <c:v>215820</c:v>
                </c:pt>
                <c:pt idx="24">
                  <c:v>191000</c:v>
                </c:pt>
                <c:pt idx="25">
                  <c:v>125000</c:v>
                </c:pt>
                <c:pt idx="26">
                  <c:v>60170</c:v>
                </c:pt>
                <c:pt idx="27">
                  <c:v>75000</c:v>
                </c:pt>
                <c:pt idx="28">
                  <c:v>132000</c:v>
                </c:pt>
                <c:pt idx="29">
                  <c:v>90310</c:v>
                </c:pt>
                <c:pt idx="30">
                  <c:v>128260</c:v>
                </c:pt>
                <c:pt idx="31">
                  <c:v>25000</c:v>
                </c:pt>
                <c:pt idx="32">
                  <c:v>186580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9-4CA0-8CA3-47EAFE3B9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9316751"/>
        <c:axId val="1949317167"/>
        <c:extLst>
          <c:ext xmlns:c15="http://schemas.microsoft.com/office/drawing/2012/chart" uri="{02D57815-91ED-43cb-92C2-25804820EDAC}">
            <c15:filteredLineSeries>
              <c15:ser>
                <c:idx val="5"/>
                <c:order val="0"/>
                <c:tx>
                  <c:v>2023</c:v>
                </c:tx>
                <c:spPr>
                  <a:ln>
                    <a:solidFill>
                      <a:schemeClr val="bg1">
                        <a:lumMod val="75000"/>
                      </a:schemeClr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'[1]23~25 비교'!$S$338:$S$370</c15:sqref>
                        </c15:formulaRef>
                      </c:ext>
                    </c:extLst>
                    <c:numCache>
                      <c:formatCode>[$-412]mm"-"dd"-"ddd</c:formatCode>
                      <c:ptCount val="33"/>
                      <c:pt idx="0">
                        <c:v>45991</c:v>
                      </c:pt>
                      <c:pt idx="1">
                        <c:v>45992</c:v>
                      </c:pt>
                      <c:pt idx="2">
                        <c:v>45993</c:v>
                      </c:pt>
                      <c:pt idx="3">
                        <c:v>45994</c:v>
                      </c:pt>
                      <c:pt idx="4">
                        <c:v>45995</c:v>
                      </c:pt>
                      <c:pt idx="5">
                        <c:v>45996</c:v>
                      </c:pt>
                      <c:pt idx="6">
                        <c:v>45997</c:v>
                      </c:pt>
                      <c:pt idx="7">
                        <c:v>45998</c:v>
                      </c:pt>
                      <c:pt idx="8">
                        <c:v>45999</c:v>
                      </c:pt>
                      <c:pt idx="9">
                        <c:v>46000</c:v>
                      </c:pt>
                      <c:pt idx="10">
                        <c:v>46001</c:v>
                      </c:pt>
                      <c:pt idx="11">
                        <c:v>46002</c:v>
                      </c:pt>
                      <c:pt idx="12">
                        <c:v>46003</c:v>
                      </c:pt>
                      <c:pt idx="13">
                        <c:v>46004</c:v>
                      </c:pt>
                      <c:pt idx="14">
                        <c:v>46005</c:v>
                      </c:pt>
                      <c:pt idx="15">
                        <c:v>46006</c:v>
                      </c:pt>
                      <c:pt idx="16">
                        <c:v>46007</c:v>
                      </c:pt>
                      <c:pt idx="17">
                        <c:v>46008</c:v>
                      </c:pt>
                      <c:pt idx="18">
                        <c:v>46009</c:v>
                      </c:pt>
                      <c:pt idx="19">
                        <c:v>46010</c:v>
                      </c:pt>
                      <c:pt idx="20">
                        <c:v>46011</c:v>
                      </c:pt>
                      <c:pt idx="21">
                        <c:v>46012</c:v>
                      </c:pt>
                      <c:pt idx="22">
                        <c:v>46013</c:v>
                      </c:pt>
                      <c:pt idx="23">
                        <c:v>46014</c:v>
                      </c:pt>
                      <c:pt idx="24">
                        <c:v>46015</c:v>
                      </c:pt>
                      <c:pt idx="25">
                        <c:v>46016</c:v>
                      </c:pt>
                      <c:pt idx="26">
                        <c:v>46017</c:v>
                      </c:pt>
                      <c:pt idx="27">
                        <c:v>46018</c:v>
                      </c:pt>
                      <c:pt idx="28">
                        <c:v>46019</c:v>
                      </c:pt>
                      <c:pt idx="29">
                        <c:v>46020</c:v>
                      </c:pt>
                      <c:pt idx="30">
                        <c:v>46021</c:v>
                      </c:pt>
                      <c:pt idx="31">
                        <c:v>46022</c:v>
                      </c:pt>
                      <c:pt idx="32">
                        <c:v>46023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'[1]23~25 비교'!$F$250:$F$281</c15:sqref>
                        </c15:formulaRef>
                      </c:ext>
                    </c:extLst>
                    <c:numCache>
                      <c:formatCode>_("₩"* #,##0_);_("₩"* \(#,##0\);_("₩"* "-"_);_(@_)</c:formatCode>
                      <c:ptCount val="32"/>
                      <c:pt idx="0">
                        <c:v>529060</c:v>
                      </c:pt>
                      <c:pt idx="1">
                        <c:v>2345420</c:v>
                      </c:pt>
                      <c:pt idx="2">
                        <c:v>1388120</c:v>
                      </c:pt>
                      <c:pt idx="3">
                        <c:v>693161</c:v>
                      </c:pt>
                      <c:pt idx="4">
                        <c:v>758570</c:v>
                      </c:pt>
                      <c:pt idx="5">
                        <c:v>916620</c:v>
                      </c:pt>
                      <c:pt idx="6">
                        <c:v>549330</c:v>
                      </c:pt>
                      <c:pt idx="7">
                        <c:v>955130</c:v>
                      </c:pt>
                      <c:pt idx="8">
                        <c:v>926450</c:v>
                      </c:pt>
                      <c:pt idx="9">
                        <c:v>734130</c:v>
                      </c:pt>
                      <c:pt idx="10">
                        <c:v>1065300</c:v>
                      </c:pt>
                      <c:pt idx="11">
                        <c:v>669880</c:v>
                      </c:pt>
                      <c:pt idx="12">
                        <c:v>362100</c:v>
                      </c:pt>
                      <c:pt idx="13">
                        <c:v>480300</c:v>
                      </c:pt>
                      <c:pt idx="14">
                        <c:v>885900</c:v>
                      </c:pt>
                      <c:pt idx="15">
                        <c:v>959750</c:v>
                      </c:pt>
                      <c:pt idx="16">
                        <c:v>329650</c:v>
                      </c:pt>
                      <c:pt idx="17">
                        <c:v>845092</c:v>
                      </c:pt>
                      <c:pt idx="18">
                        <c:v>1186250</c:v>
                      </c:pt>
                      <c:pt idx="19">
                        <c:v>581570</c:v>
                      </c:pt>
                      <c:pt idx="20">
                        <c:v>356810</c:v>
                      </c:pt>
                      <c:pt idx="21">
                        <c:v>603060</c:v>
                      </c:pt>
                      <c:pt idx="22">
                        <c:v>1801290</c:v>
                      </c:pt>
                      <c:pt idx="23">
                        <c:v>364500</c:v>
                      </c:pt>
                      <c:pt idx="24">
                        <c:v>670180</c:v>
                      </c:pt>
                      <c:pt idx="25">
                        <c:v>552630</c:v>
                      </c:pt>
                      <c:pt idx="26">
                        <c:v>492670</c:v>
                      </c:pt>
                      <c:pt idx="27">
                        <c:v>562000</c:v>
                      </c:pt>
                      <c:pt idx="28">
                        <c:v>798960</c:v>
                      </c:pt>
                      <c:pt idx="29">
                        <c:v>614040</c:v>
                      </c:pt>
                      <c:pt idx="30">
                        <c:v>1053050</c:v>
                      </c:pt>
                      <c:pt idx="31">
                        <c:v>876860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D09-4CA0-8CA3-47EAFE3B96CD}"/>
                  </c:ext>
                </c:extLst>
              </c15:ser>
            </c15:filteredLineSeries>
            <c15:filteredLineSeries>
              <c15:ser>
                <c:idx val="6"/>
                <c:order val="1"/>
                <c:tx>
                  <c:v>2024</c:v>
                </c:tx>
                <c:spPr>
                  <a:ln>
                    <a:solidFill>
                      <a:schemeClr val="tx1"/>
                    </a:solidFill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'[1]23~25 비교'!$S$338:$S$370</c15:sqref>
                        </c15:formulaRef>
                      </c:ext>
                    </c:extLst>
                    <c:numCache>
                      <c:formatCode>[$-412]mm"-"dd"-"ddd</c:formatCode>
                      <c:ptCount val="33"/>
                      <c:pt idx="0">
                        <c:v>45991</c:v>
                      </c:pt>
                      <c:pt idx="1">
                        <c:v>45992</c:v>
                      </c:pt>
                      <c:pt idx="2">
                        <c:v>45993</c:v>
                      </c:pt>
                      <c:pt idx="3">
                        <c:v>45994</c:v>
                      </c:pt>
                      <c:pt idx="4">
                        <c:v>45995</c:v>
                      </c:pt>
                      <c:pt idx="5">
                        <c:v>45996</c:v>
                      </c:pt>
                      <c:pt idx="6">
                        <c:v>45997</c:v>
                      </c:pt>
                      <c:pt idx="7">
                        <c:v>45998</c:v>
                      </c:pt>
                      <c:pt idx="8">
                        <c:v>45999</c:v>
                      </c:pt>
                      <c:pt idx="9">
                        <c:v>46000</c:v>
                      </c:pt>
                      <c:pt idx="10">
                        <c:v>46001</c:v>
                      </c:pt>
                      <c:pt idx="11">
                        <c:v>46002</c:v>
                      </c:pt>
                      <c:pt idx="12">
                        <c:v>46003</c:v>
                      </c:pt>
                      <c:pt idx="13">
                        <c:v>46004</c:v>
                      </c:pt>
                      <c:pt idx="14">
                        <c:v>46005</c:v>
                      </c:pt>
                      <c:pt idx="15">
                        <c:v>46006</c:v>
                      </c:pt>
                      <c:pt idx="16">
                        <c:v>46007</c:v>
                      </c:pt>
                      <c:pt idx="17">
                        <c:v>46008</c:v>
                      </c:pt>
                      <c:pt idx="18">
                        <c:v>46009</c:v>
                      </c:pt>
                      <c:pt idx="19">
                        <c:v>46010</c:v>
                      </c:pt>
                      <c:pt idx="20">
                        <c:v>46011</c:v>
                      </c:pt>
                      <c:pt idx="21">
                        <c:v>46012</c:v>
                      </c:pt>
                      <c:pt idx="22">
                        <c:v>46013</c:v>
                      </c:pt>
                      <c:pt idx="23">
                        <c:v>46014</c:v>
                      </c:pt>
                      <c:pt idx="24">
                        <c:v>46015</c:v>
                      </c:pt>
                      <c:pt idx="25">
                        <c:v>46016</c:v>
                      </c:pt>
                      <c:pt idx="26">
                        <c:v>46017</c:v>
                      </c:pt>
                      <c:pt idx="27">
                        <c:v>46018</c:v>
                      </c:pt>
                      <c:pt idx="28">
                        <c:v>46019</c:v>
                      </c:pt>
                      <c:pt idx="29">
                        <c:v>46020</c:v>
                      </c:pt>
                      <c:pt idx="30">
                        <c:v>46021</c:v>
                      </c:pt>
                      <c:pt idx="31">
                        <c:v>46022</c:v>
                      </c:pt>
                      <c:pt idx="32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'[1]23~25 비교'!$O$249:$O$280</c15:sqref>
                        </c15:formulaRef>
                      </c:ext>
                    </c:extLst>
                    <c:numCache>
                      <c:formatCode>_("₩"* #,##0_);_("₩"* \(#,##0\);_("₩"* "-"_);_(@_)</c:formatCode>
                      <c:ptCount val="32"/>
                      <c:pt idx="0">
                        <c:v>3938480</c:v>
                      </c:pt>
                      <c:pt idx="1">
                        <c:v>4502130</c:v>
                      </c:pt>
                      <c:pt idx="2">
                        <c:v>3153930</c:v>
                      </c:pt>
                      <c:pt idx="3">
                        <c:v>3596690</c:v>
                      </c:pt>
                      <c:pt idx="4">
                        <c:v>3924850</c:v>
                      </c:pt>
                      <c:pt idx="5">
                        <c:v>4508330</c:v>
                      </c:pt>
                      <c:pt idx="6">
                        <c:v>4483140</c:v>
                      </c:pt>
                      <c:pt idx="7">
                        <c:v>4624170</c:v>
                      </c:pt>
                      <c:pt idx="8">
                        <c:v>2187760</c:v>
                      </c:pt>
                      <c:pt idx="9">
                        <c:v>1027300</c:v>
                      </c:pt>
                      <c:pt idx="10">
                        <c:v>383310</c:v>
                      </c:pt>
                      <c:pt idx="11">
                        <c:v>291790</c:v>
                      </c:pt>
                      <c:pt idx="12">
                        <c:v>359110</c:v>
                      </c:pt>
                      <c:pt idx="13">
                        <c:v>549010</c:v>
                      </c:pt>
                      <c:pt idx="14">
                        <c:v>616910</c:v>
                      </c:pt>
                      <c:pt idx="15">
                        <c:v>1278500</c:v>
                      </c:pt>
                      <c:pt idx="16">
                        <c:v>2073240</c:v>
                      </c:pt>
                      <c:pt idx="17">
                        <c:v>3601070</c:v>
                      </c:pt>
                      <c:pt idx="18">
                        <c:v>1668820</c:v>
                      </c:pt>
                      <c:pt idx="19">
                        <c:v>367710</c:v>
                      </c:pt>
                      <c:pt idx="20">
                        <c:v>610530</c:v>
                      </c:pt>
                      <c:pt idx="21">
                        <c:v>638900</c:v>
                      </c:pt>
                      <c:pt idx="22">
                        <c:v>728000</c:v>
                      </c:pt>
                      <c:pt idx="23">
                        <c:v>1495826</c:v>
                      </c:pt>
                      <c:pt idx="24">
                        <c:v>1055550</c:v>
                      </c:pt>
                      <c:pt idx="25">
                        <c:v>953730</c:v>
                      </c:pt>
                      <c:pt idx="26">
                        <c:v>453560</c:v>
                      </c:pt>
                      <c:pt idx="27">
                        <c:v>277020</c:v>
                      </c:pt>
                      <c:pt idx="28">
                        <c:v>767940</c:v>
                      </c:pt>
                      <c:pt idx="29">
                        <c:v>961160</c:v>
                      </c:pt>
                      <c:pt idx="30">
                        <c:v>1082500</c:v>
                      </c:pt>
                      <c:pt idx="31">
                        <c:v>2834610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D09-4CA0-8CA3-47EAFE3B96CD}"/>
                  </c:ext>
                </c:extLst>
              </c15:ser>
            </c15:filteredLineSeries>
          </c:ext>
        </c:extLst>
      </c:lineChart>
      <c:dateAx>
        <c:axId val="1949316751"/>
        <c:scaling>
          <c:orientation val="minMax"/>
          <c:max val="46023"/>
          <c:min val="45991"/>
        </c:scaling>
        <c:delete val="0"/>
        <c:axPos val="b"/>
        <c:numFmt formatCode="[$-412]mm&quot;-&quot;dd&quot;-&quot;d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317167"/>
        <c:crosses val="autoZero"/>
        <c:auto val="1"/>
        <c:lblOffset val="100"/>
        <c:baseTimeUnit val="days"/>
      </c:dateAx>
      <c:valAx>
        <c:axId val="1949317167"/>
        <c:scaling>
          <c:orientation val="minMax"/>
          <c:max val="1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₩&quot;* #,##0_);_(&quot;₩&quot;* \(#,##0\);_(&quot;₩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316751"/>
        <c:crosses val="autoZero"/>
        <c:crossBetween val="between"/>
        <c:majorUnit val="200000"/>
      </c:valAx>
    </c:plotArea>
    <c:legend>
      <c:legendPos val="b"/>
      <c:overlay val="0"/>
      <c:spPr>
        <a:noFill/>
        <a:ln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머드스콘</a:t>
            </a:r>
            <a:r>
              <a:rPr lang="ko-KR" altLang="en-US" baseline="0"/>
              <a:t> 매출 비교 그래프 </a:t>
            </a:r>
            <a:r>
              <a:rPr lang="en-US" altLang="ko-KR" baseline="0"/>
              <a:t>YoY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3605961062958034E-2"/>
          <c:y val="0.19078703703703703"/>
          <c:w val="0.90962299342271713"/>
          <c:h val="0.48125765529308834"/>
        </c:manualLayout>
      </c:layout>
      <c:lineChart>
        <c:grouping val="standard"/>
        <c:varyColors val="0"/>
        <c:ser>
          <c:idx val="4"/>
          <c:order val="0"/>
          <c:tx>
            <c:v>2024</c:v>
          </c:tx>
          <c:spPr>
            <a:ln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'[1]24~26 비교'!$U$215:$U$247</c:f>
              <c:numCache>
                <c:formatCode>[$-412]mm"-"dd"-"ddd</c:formatCode>
                <c:ptCount val="33"/>
                <c:pt idx="0">
                  <c:v>46234</c:v>
                </c:pt>
                <c:pt idx="1">
                  <c:v>46235</c:v>
                </c:pt>
                <c:pt idx="2">
                  <c:v>46236</c:v>
                </c:pt>
                <c:pt idx="3">
                  <c:v>46237</c:v>
                </c:pt>
                <c:pt idx="4">
                  <c:v>46238</c:v>
                </c:pt>
                <c:pt idx="5">
                  <c:v>46239</c:v>
                </c:pt>
                <c:pt idx="6">
                  <c:v>46240</c:v>
                </c:pt>
                <c:pt idx="7">
                  <c:v>46241</c:v>
                </c:pt>
                <c:pt idx="8">
                  <c:v>46242</c:v>
                </c:pt>
                <c:pt idx="9">
                  <c:v>46243</c:v>
                </c:pt>
                <c:pt idx="10">
                  <c:v>46244</c:v>
                </c:pt>
                <c:pt idx="11">
                  <c:v>46245</c:v>
                </c:pt>
                <c:pt idx="12">
                  <c:v>46246</c:v>
                </c:pt>
                <c:pt idx="13">
                  <c:v>46247</c:v>
                </c:pt>
                <c:pt idx="14">
                  <c:v>46248</c:v>
                </c:pt>
                <c:pt idx="15">
                  <c:v>46249</c:v>
                </c:pt>
                <c:pt idx="16">
                  <c:v>46250</c:v>
                </c:pt>
                <c:pt idx="17">
                  <c:v>46251</c:v>
                </c:pt>
                <c:pt idx="18">
                  <c:v>46252</c:v>
                </c:pt>
                <c:pt idx="19">
                  <c:v>46253</c:v>
                </c:pt>
                <c:pt idx="20">
                  <c:v>46254</c:v>
                </c:pt>
                <c:pt idx="21">
                  <c:v>46255</c:v>
                </c:pt>
                <c:pt idx="22">
                  <c:v>46256</c:v>
                </c:pt>
                <c:pt idx="23">
                  <c:v>46257</c:v>
                </c:pt>
                <c:pt idx="24">
                  <c:v>46258</c:v>
                </c:pt>
                <c:pt idx="25">
                  <c:v>46259</c:v>
                </c:pt>
                <c:pt idx="26">
                  <c:v>46260</c:v>
                </c:pt>
                <c:pt idx="27">
                  <c:v>46261</c:v>
                </c:pt>
                <c:pt idx="28">
                  <c:v>46262</c:v>
                </c:pt>
                <c:pt idx="29">
                  <c:v>46263</c:v>
                </c:pt>
                <c:pt idx="30">
                  <c:v>46264</c:v>
                </c:pt>
                <c:pt idx="31">
                  <c:v>46265</c:v>
                </c:pt>
                <c:pt idx="32">
                  <c:v>46266</c:v>
                </c:pt>
              </c:numCache>
            </c:numRef>
          </c:cat>
          <c:val>
            <c:numRef>
              <c:f>'[1]24~26 비교'!$E$219:$E$251</c:f>
              <c:numCache>
                <c:formatCode>_("₩"* #,##0_);_("₩"* \(#,##0\);_("₩"* "-"_);_(@_)</c:formatCode>
                <c:ptCount val="33"/>
                <c:pt idx="0">
                  <c:v>1694406</c:v>
                </c:pt>
                <c:pt idx="1">
                  <c:v>1098653</c:v>
                </c:pt>
                <c:pt idx="2">
                  <c:v>1587789</c:v>
                </c:pt>
                <c:pt idx="3">
                  <c:v>16584532</c:v>
                </c:pt>
                <c:pt idx="4">
                  <c:v>16999202</c:v>
                </c:pt>
                <c:pt idx="5">
                  <c:v>12984506</c:v>
                </c:pt>
                <c:pt idx="6">
                  <c:v>11377701</c:v>
                </c:pt>
                <c:pt idx="7">
                  <c:v>11966212</c:v>
                </c:pt>
                <c:pt idx="8">
                  <c:v>3686090</c:v>
                </c:pt>
                <c:pt idx="9">
                  <c:v>5633296</c:v>
                </c:pt>
                <c:pt idx="10">
                  <c:v>8320165</c:v>
                </c:pt>
                <c:pt idx="11">
                  <c:v>7907036</c:v>
                </c:pt>
                <c:pt idx="12">
                  <c:v>5646856</c:v>
                </c:pt>
                <c:pt idx="13">
                  <c:v>6042383</c:v>
                </c:pt>
                <c:pt idx="14">
                  <c:v>10308738</c:v>
                </c:pt>
                <c:pt idx="15">
                  <c:v>1800082</c:v>
                </c:pt>
                <c:pt idx="16">
                  <c:v>1224654</c:v>
                </c:pt>
                <c:pt idx="17">
                  <c:v>17323106</c:v>
                </c:pt>
                <c:pt idx="18">
                  <c:v>16577745</c:v>
                </c:pt>
                <c:pt idx="19">
                  <c:v>17081258</c:v>
                </c:pt>
                <c:pt idx="20">
                  <c:v>14517138</c:v>
                </c:pt>
                <c:pt idx="21">
                  <c:v>9446879</c:v>
                </c:pt>
                <c:pt idx="22">
                  <c:v>1280969</c:v>
                </c:pt>
                <c:pt idx="23">
                  <c:v>2000856</c:v>
                </c:pt>
                <c:pt idx="24">
                  <c:v>15643836</c:v>
                </c:pt>
                <c:pt idx="25">
                  <c:v>1236253</c:v>
                </c:pt>
                <c:pt idx="26">
                  <c:v>93010</c:v>
                </c:pt>
                <c:pt idx="27">
                  <c:v>0</c:v>
                </c:pt>
                <c:pt idx="28">
                  <c:v>0</c:v>
                </c:pt>
                <c:pt idx="29">
                  <c:v>9383980</c:v>
                </c:pt>
                <c:pt idx="30">
                  <c:v>11983320</c:v>
                </c:pt>
                <c:pt idx="31">
                  <c:v>36181512</c:v>
                </c:pt>
                <c:pt idx="32">
                  <c:v>23190337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4-4C69-8B3C-CC3F8854E6F8}"/>
            </c:ext>
          </c:extLst>
        </c:ser>
        <c:ser>
          <c:idx val="5"/>
          <c:order val="1"/>
          <c:tx>
            <c:v>2025</c:v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'[1]24~26 비교'!$U$215:$U$247</c:f>
              <c:numCache>
                <c:formatCode>[$-412]mm"-"dd"-"ddd</c:formatCode>
                <c:ptCount val="33"/>
                <c:pt idx="0">
                  <c:v>46234</c:v>
                </c:pt>
                <c:pt idx="1">
                  <c:v>46235</c:v>
                </c:pt>
                <c:pt idx="2">
                  <c:v>46236</c:v>
                </c:pt>
                <c:pt idx="3">
                  <c:v>46237</c:v>
                </c:pt>
                <c:pt idx="4">
                  <c:v>46238</c:v>
                </c:pt>
                <c:pt idx="5">
                  <c:v>46239</c:v>
                </c:pt>
                <c:pt idx="6">
                  <c:v>46240</c:v>
                </c:pt>
                <c:pt idx="7">
                  <c:v>46241</c:v>
                </c:pt>
                <c:pt idx="8">
                  <c:v>46242</c:v>
                </c:pt>
                <c:pt idx="9">
                  <c:v>46243</c:v>
                </c:pt>
                <c:pt idx="10">
                  <c:v>46244</c:v>
                </c:pt>
                <c:pt idx="11">
                  <c:v>46245</c:v>
                </c:pt>
                <c:pt idx="12">
                  <c:v>46246</c:v>
                </c:pt>
                <c:pt idx="13">
                  <c:v>46247</c:v>
                </c:pt>
                <c:pt idx="14">
                  <c:v>46248</c:v>
                </c:pt>
                <c:pt idx="15">
                  <c:v>46249</c:v>
                </c:pt>
                <c:pt idx="16">
                  <c:v>46250</c:v>
                </c:pt>
                <c:pt idx="17">
                  <c:v>46251</c:v>
                </c:pt>
                <c:pt idx="18">
                  <c:v>46252</c:v>
                </c:pt>
                <c:pt idx="19">
                  <c:v>46253</c:v>
                </c:pt>
                <c:pt idx="20">
                  <c:v>46254</c:v>
                </c:pt>
                <c:pt idx="21">
                  <c:v>46255</c:v>
                </c:pt>
                <c:pt idx="22">
                  <c:v>46256</c:v>
                </c:pt>
                <c:pt idx="23">
                  <c:v>46257</c:v>
                </c:pt>
                <c:pt idx="24">
                  <c:v>46258</c:v>
                </c:pt>
                <c:pt idx="25">
                  <c:v>46259</c:v>
                </c:pt>
                <c:pt idx="26">
                  <c:v>46260</c:v>
                </c:pt>
                <c:pt idx="27">
                  <c:v>46261</c:v>
                </c:pt>
                <c:pt idx="28">
                  <c:v>46262</c:v>
                </c:pt>
                <c:pt idx="29">
                  <c:v>46263</c:v>
                </c:pt>
                <c:pt idx="30">
                  <c:v>46264</c:v>
                </c:pt>
                <c:pt idx="31">
                  <c:v>46265</c:v>
                </c:pt>
                <c:pt idx="32">
                  <c:v>46266</c:v>
                </c:pt>
              </c:numCache>
            </c:numRef>
          </c:cat>
          <c:val>
            <c:numRef>
              <c:f>'[1]24~26 비교'!$N$217:$N$249</c:f>
              <c:numCache>
                <c:formatCode>_("₩"* #,##0_);_("₩"* \(#,##0\);_("₩"* "-"_);_(@_)</c:formatCode>
                <c:ptCount val="33"/>
                <c:pt idx="0">
                  <c:v>18885198</c:v>
                </c:pt>
                <c:pt idx="1">
                  <c:v>3322130</c:v>
                </c:pt>
                <c:pt idx="2">
                  <c:v>13515337</c:v>
                </c:pt>
                <c:pt idx="3">
                  <c:v>4385378</c:v>
                </c:pt>
                <c:pt idx="4">
                  <c:v>19475036</c:v>
                </c:pt>
                <c:pt idx="5">
                  <c:v>11789006</c:v>
                </c:pt>
                <c:pt idx="6">
                  <c:v>12516712</c:v>
                </c:pt>
                <c:pt idx="7">
                  <c:v>14674129</c:v>
                </c:pt>
                <c:pt idx="8">
                  <c:v>6586512</c:v>
                </c:pt>
                <c:pt idx="9">
                  <c:v>4248498</c:v>
                </c:pt>
                <c:pt idx="10">
                  <c:v>16331941</c:v>
                </c:pt>
                <c:pt idx="11">
                  <c:v>30322130</c:v>
                </c:pt>
                <c:pt idx="12">
                  <c:v>10460915</c:v>
                </c:pt>
                <c:pt idx="13">
                  <c:v>8385698</c:v>
                </c:pt>
                <c:pt idx="14">
                  <c:v>5224474</c:v>
                </c:pt>
                <c:pt idx="15">
                  <c:v>5443588</c:v>
                </c:pt>
                <c:pt idx="16">
                  <c:v>8608409</c:v>
                </c:pt>
                <c:pt idx="17">
                  <c:v>17008491</c:v>
                </c:pt>
                <c:pt idx="18">
                  <c:v>11320312</c:v>
                </c:pt>
                <c:pt idx="19">
                  <c:v>2801231</c:v>
                </c:pt>
                <c:pt idx="20">
                  <c:v>42400</c:v>
                </c:pt>
                <c:pt idx="21">
                  <c:v>53324704</c:v>
                </c:pt>
                <c:pt idx="22">
                  <c:v>35925249</c:v>
                </c:pt>
                <c:pt idx="23">
                  <c:v>36859910</c:v>
                </c:pt>
                <c:pt idx="24">
                  <c:v>44392909</c:v>
                </c:pt>
                <c:pt idx="25">
                  <c:v>19409090</c:v>
                </c:pt>
                <c:pt idx="26">
                  <c:v>22586472</c:v>
                </c:pt>
                <c:pt idx="27">
                  <c:v>8166490</c:v>
                </c:pt>
                <c:pt idx="28">
                  <c:v>26569419</c:v>
                </c:pt>
                <c:pt idx="29">
                  <c:v>6903499</c:v>
                </c:pt>
                <c:pt idx="30">
                  <c:v>6619776</c:v>
                </c:pt>
                <c:pt idx="31">
                  <c:v>15412484</c:v>
                </c:pt>
                <c:pt idx="32">
                  <c:v>8988374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A4-4C69-8B3C-CC3F8854E6F8}"/>
            </c:ext>
          </c:extLst>
        </c:ser>
        <c:ser>
          <c:idx val="6"/>
          <c:order val="2"/>
          <c:tx>
            <c:v>2026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'[1]24~26 비교'!$U$215:$U$247</c:f>
              <c:numCache>
                <c:formatCode>[$-412]mm"-"dd"-"ddd</c:formatCode>
                <c:ptCount val="33"/>
                <c:pt idx="0">
                  <c:v>46234</c:v>
                </c:pt>
                <c:pt idx="1">
                  <c:v>46235</c:v>
                </c:pt>
                <c:pt idx="2">
                  <c:v>46236</c:v>
                </c:pt>
                <c:pt idx="3">
                  <c:v>46237</c:v>
                </c:pt>
                <c:pt idx="4">
                  <c:v>46238</c:v>
                </c:pt>
                <c:pt idx="5">
                  <c:v>46239</c:v>
                </c:pt>
                <c:pt idx="6">
                  <c:v>46240</c:v>
                </c:pt>
                <c:pt idx="7">
                  <c:v>46241</c:v>
                </c:pt>
                <c:pt idx="8">
                  <c:v>46242</c:v>
                </c:pt>
                <c:pt idx="9">
                  <c:v>46243</c:v>
                </c:pt>
                <c:pt idx="10">
                  <c:v>46244</c:v>
                </c:pt>
                <c:pt idx="11">
                  <c:v>46245</c:v>
                </c:pt>
                <c:pt idx="12">
                  <c:v>46246</c:v>
                </c:pt>
                <c:pt idx="13">
                  <c:v>46247</c:v>
                </c:pt>
                <c:pt idx="14">
                  <c:v>46248</c:v>
                </c:pt>
                <c:pt idx="15">
                  <c:v>46249</c:v>
                </c:pt>
                <c:pt idx="16">
                  <c:v>46250</c:v>
                </c:pt>
                <c:pt idx="17">
                  <c:v>46251</c:v>
                </c:pt>
                <c:pt idx="18">
                  <c:v>46252</c:v>
                </c:pt>
                <c:pt idx="19">
                  <c:v>46253</c:v>
                </c:pt>
                <c:pt idx="20">
                  <c:v>46254</c:v>
                </c:pt>
                <c:pt idx="21">
                  <c:v>46255</c:v>
                </c:pt>
                <c:pt idx="22">
                  <c:v>46256</c:v>
                </c:pt>
                <c:pt idx="23">
                  <c:v>46257</c:v>
                </c:pt>
                <c:pt idx="24">
                  <c:v>46258</c:v>
                </c:pt>
                <c:pt idx="25">
                  <c:v>46259</c:v>
                </c:pt>
                <c:pt idx="26">
                  <c:v>46260</c:v>
                </c:pt>
                <c:pt idx="27">
                  <c:v>46261</c:v>
                </c:pt>
                <c:pt idx="28">
                  <c:v>46262</c:v>
                </c:pt>
                <c:pt idx="29">
                  <c:v>46263</c:v>
                </c:pt>
                <c:pt idx="30">
                  <c:v>46264</c:v>
                </c:pt>
                <c:pt idx="31">
                  <c:v>46265</c:v>
                </c:pt>
                <c:pt idx="32">
                  <c:v>46266</c:v>
                </c:pt>
              </c:numCache>
            </c:numRef>
          </c:cat>
          <c:val>
            <c:numRef>
              <c:f>'[1]24~26 비교'!$Y$215:$Y$247</c:f>
              <c:numCache>
                <c:formatCode>_("₩"* #,##0_);_("₩"* \(#,##0\);_("₩"* "-"_);_(@_)</c:formatCode>
                <c:ptCount val="33"/>
                <c:pt idx="0">
                  <c:v>15284340</c:v>
                </c:pt>
                <c:pt idx="1">
                  <c:v>1113560</c:v>
                </c:pt>
                <c:pt idx="2">
                  <c:v>18213710</c:v>
                </c:pt>
                <c:pt idx="3">
                  <c:v>1257410</c:v>
                </c:pt>
                <c:pt idx="4">
                  <c:v>17174570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A4-4C69-8B3C-CC3F8854E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9316751"/>
        <c:axId val="1949317167"/>
        <c:extLst>
          <c:ext xmlns:c15="http://schemas.microsoft.com/office/drawing/2012/chart" uri="{02D57815-91ED-43cb-92C2-25804820EDAC}">
            <c15:filteredLineSeries>
              <c15:ser>
                <c:idx val="7"/>
                <c:order val="3"/>
                <c:tx>
                  <c:v>Oatter(단독매출)</c:v>
                </c:tx>
                <c:spPr>
                  <a:ln w="28575" cap="rnd">
                    <a:solidFill>
                      <a:srgbClr val="707BD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'[1]24~26 비교'!$U$215:$U$247</c15:sqref>
                        </c15:formulaRef>
                      </c:ext>
                    </c:extLst>
                    <c:numCache>
                      <c:formatCode>[$-412]mm"-"dd"-"ddd</c:formatCode>
                      <c:ptCount val="33"/>
                      <c:pt idx="0">
                        <c:v>46234</c:v>
                      </c:pt>
                      <c:pt idx="1">
                        <c:v>46235</c:v>
                      </c:pt>
                      <c:pt idx="2">
                        <c:v>46236</c:v>
                      </c:pt>
                      <c:pt idx="3">
                        <c:v>46237</c:v>
                      </c:pt>
                      <c:pt idx="4">
                        <c:v>46238</c:v>
                      </c:pt>
                      <c:pt idx="5">
                        <c:v>46239</c:v>
                      </c:pt>
                      <c:pt idx="6">
                        <c:v>46240</c:v>
                      </c:pt>
                      <c:pt idx="7">
                        <c:v>46241</c:v>
                      </c:pt>
                      <c:pt idx="8">
                        <c:v>46242</c:v>
                      </c:pt>
                      <c:pt idx="9">
                        <c:v>46243</c:v>
                      </c:pt>
                      <c:pt idx="10">
                        <c:v>46244</c:v>
                      </c:pt>
                      <c:pt idx="11">
                        <c:v>46245</c:v>
                      </c:pt>
                      <c:pt idx="12">
                        <c:v>46246</c:v>
                      </c:pt>
                      <c:pt idx="13">
                        <c:v>46247</c:v>
                      </c:pt>
                      <c:pt idx="14">
                        <c:v>46248</c:v>
                      </c:pt>
                      <c:pt idx="15">
                        <c:v>46249</c:v>
                      </c:pt>
                      <c:pt idx="16">
                        <c:v>46250</c:v>
                      </c:pt>
                      <c:pt idx="17">
                        <c:v>46251</c:v>
                      </c:pt>
                      <c:pt idx="18">
                        <c:v>46252</c:v>
                      </c:pt>
                      <c:pt idx="19">
                        <c:v>46253</c:v>
                      </c:pt>
                      <c:pt idx="20">
                        <c:v>46254</c:v>
                      </c:pt>
                      <c:pt idx="21">
                        <c:v>46255</c:v>
                      </c:pt>
                      <c:pt idx="22">
                        <c:v>46256</c:v>
                      </c:pt>
                      <c:pt idx="23">
                        <c:v>46257</c:v>
                      </c:pt>
                      <c:pt idx="24">
                        <c:v>46258</c:v>
                      </c:pt>
                      <c:pt idx="25">
                        <c:v>46259</c:v>
                      </c:pt>
                      <c:pt idx="26">
                        <c:v>46260</c:v>
                      </c:pt>
                      <c:pt idx="27">
                        <c:v>46261</c:v>
                      </c:pt>
                      <c:pt idx="28">
                        <c:v>46262</c:v>
                      </c:pt>
                      <c:pt idx="29">
                        <c:v>46263</c:v>
                      </c:pt>
                      <c:pt idx="30">
                        <c:v>46264</c:v>
                      </c:pt>
                      <c:pt idx="31">
                        <c:v>46265</c:v>
                      </c:pt>
                      <c:pt idx="32">
                        <c:v>46266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'[1]24~26 비교'!$F$186:$F$218</c15:sqref>
                        </c15:formulaRef>
                      </c:ext>
                    </c:extLst>
                    <c:numCache>
                      <c:formatCode>_("₩"* #,##0_);_("₩"* \(#,##0\);_("₩"* "-"_);_(@_)</c:formatCode>
                      <c:ptCount val="33"/>
                      <c:pt idx="0">
                        <c:v>3277940</c:v>
                      </c:pt>
                      <c:pt idx="1">
                        <c:v>3087140</c:v>
                      </c:pt>
                      <c:pt idx="2">
                        <c:v>2650460</c:v>
                      </c:pt>
                      <c:pt idx="3">
                        <c:v>1386170</c:v>
                      </c:pt>
                      <c:pt idx="4">
                        <c:v>1320360</c:v>
                      </c:pt>
                      <c:pt idx="5">
                        <c:v>781100</c:v>
                      </c:pt>
                      <c:pt idx="6">
                        <c:v>745140</c:v>
                      </c:pt>
                      <c:pt idx="7">
                        <c:v>930120</c:v>
                      </c:pt>
                      <c:pt idx="8">
                        <c:v>1436700</c:v>
                      </c:pt>
                      <c:pt idx="9">
                        <c:v>1780900</c:v>
                      </c:pt>
                      <c:pt idx="10">
                        <c:v>1509180</c:v>
                      </c:pt>
                      <c:pt idx="11">
                        <c:v>1500680</c:v>
                      </c:pt>
                      <c:pt idx="12">
                        <c:v>939880</c:v>
                      </c:pt>
                      <c:pt idx="13">
                        <c:v>538440</c:v>
                      </c:pt>
                      <c:pt idx="14">
                        <c:v>895400</c:v>
                      </c:pt>
                      <c:pt idx="15">
                        <c:v>1868420</c:v>
                      </c:pt>
                      <c:pt idx="16">
                        <c:v>1376340</c:v>
                      </c:pt>
                      <c:pt idx="17">
                        <c:v>2726460</c:v>
                      </c:pt>
                      <c:pt idx="18">
                        <c:v>2071260</c:v>
                      </c:pt>
                      <c:pt idx="19">
                        <c:v>976340</c:v>
                      </c:pt>
                      <c:pt idx="20">
                        <c:v>951150</c:v>
                      </c:pt>
                      <c:pt idx="21">
                        <c:v>1481710</c:v>
                      </c:pt>
                      <c:pt idx="22">
                        <c:v>1506240</c:v>
                      </c:pt>
                      <c:pt idx="23">
                        <c:v>1867730</c:v>
                      </c:pt>
                      <c:pt idx="24">
                        <c:v>869910</c:v>
                      </c:pt>
                      <c:pt idx="25">
                        <c:v>765110</c:v>
                      </c:pt>
                      <c:pt idx="26">
                        <c:v>1305300</c:v>
                      </c:pt>
                      <c:pt idx="27">
                        <c:v>897570</c:v>
                      </c:pt>
                      <c:pt idx="28">
                        <c:v>629380</c:v>
                      </c:pt>
                      <c:pt idx="29">
                        <c:v>1529730</c:v>
                      </c:pt>
                      <c:pt idx="30">
                        <c:v>1727700</c:v>
                      </c:pt>
                      <c:pt idx="31">
                        <c:v>1072060</c:v>
                      </c:pt>
                      <c:pt idx="32">
                        <c:v>1623380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4A4-4C69-8B3C-CC3F8854E6F8}"/>
                  </c:ext>
                </c:extLst>
              </c15:ser>
            </c15:filteredLineSeries>
          </c:ext>
        </c:extLst>
      </c:lineChart>
      <c:dateAx>
        <c:axId val="1949316751"/>
        <c:scaling>
          <c:orientation val="minMax"/>
          <c:max val="46266"/>
          <c:min val="46234"/>
        </c:scaling>
        <c:delete val="0"/>
        <c:axPos val="b"/>
        <c:numFmt formatCode="[$-412]mm&quot;-&quot;dd&quot;-&quot;d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317167"/>
        <c:crosses val="autoZero"/>
        <c:auto val="1"/>
        <c:lblOffset val="100"/>
        <c:baseTimeUnit val="days"/>
      </c:dateAx>
      <c:valAx>
        <c:axId val="1949317167"/>
        <c:scaling>
          <c:orientation val="minMax"/>
          <c:max val="3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₩&quot;* #,##0_);_(&quot;₩&quot;* \(#,##0\);_(&quot;₩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316751"/>
        <c:crosses val="autoZero"/>
        <c:crossBetween val="between"/>
        <c:majorUnit val="5000000"/>
      </c:valAx>
    </c:plotArea>
    <c:legend>
      <c:legendPos val="b"/>
      <c:overlay val="0"/>
      <c:spPr>
        <a:noFill/>
        <a:ln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aseline="0"/>
              <a:t>오터 매출 비교 그래프 </a:t>
            </a:r>
            <a:r>
              <a:rPr lang="en-US" altLang="ko-KR" baseline="0"/>
              <a:t>YoY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9230395109781374E-2"/>
          <c:y val="0.19078703703703703"/>
          <c:w val="0.90962299342271713"/>
          <c:h val="0.48125765529308834"/>
        </c:manualLayout>
      </c:layout>
      <c:lineChart>
        <c:grouping val="standard"/>
        <c:varyColors val="0"/>
        <c:ser>
          <c:idx val="5"/>
          <c:order val="0"/>
          <c:tx>
            <c:v>2024</c:v>
          </c:tx>
          <c:spPr>
            <a:ln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'[1]24~26 비교'!$U$215:$U$247</c:f>
              <c:numCache>
                <c:formatCode>[$-412]mm"-"dd"-"ddd</c:formatCode>
                <c:ptCount val="33"/>
                <c:pt idx="0">
                  <c:v>46234</c:v>
                </c:pt>
                <c:pt idx="1">
                  <c:v>46235</c:v>
                </c:pt>
                <c:pt idx="2">
                  <c:v>46236</c:v>
                </c:pt>
                <c:pt idx="3">
                  <c:v>46237</c:v>
                </c:pt>
                <c:pt idx="4">
                  <c:v>46238</c:v>
                </c:pt>
                <c:pt idx="5">
                  <c:v>46239</c:v>
                </c:pt>
                <c:pt idx="6">
                  <c:v>46240</c:v>
                </c:pt>
                <c:pt idx="7">
                  <c:v>46241</c:v>
                </c:pt>
                <c:pt idx="8">
                  <c:v>46242</c:v>
                </c:pt>
                <c:pt idx="9">
                  <c:v>46243</c:v>
                </c:pt>
                <c:pt idx="10">
                  <c:v>46244</c:v>
                </c:pt>
                <c:pt idx="11">
                  <c:v>46245</c:v>
                </c:pt>
                <c:pt idx="12">
                  <c:v>46246</c:v>
                </c:pt>
                <c:pt idx="13">
                  <c:v>46247</c:v>
                </c:pt>
                <c:pt idx="14">
                  <c:v>46248</c:v>
                </c:pt>
                <c:pt idx="15">
                  <c:v>46249</c:v>
                </c:pt>
                <c:pt idx="16">
                  <c:v>46250</c:v>
                </c:pt>
                <c:pt idx="17">
                  <c:v>46251</c:v>
                </c:pt>
                <c:pt idx="18">
                  <c:v>46252</c:v>
                </c:pt>
                <c:pt idx="19">
                  <c:v>46253</c:v>
                </c:pt>
                <c:pt idx="20">
                  <c:v>46254</c:v>
                </c:pt>
                <c:pt idx="21">
                  <c:v>46255</c:v>
                </c:pt>
                <c:pt idx="22">
                  <c:v>46256</c:v>
                </c:pt>
                <c:pt idx="23">
                  <c:v>46257</c:v>
                </c:pt>
                <c:pt idx="24">
                  <c:v>46258</c:v>
                </c:pt>
                <c:pt idx="25">
                  <c:v>46259</c:v>
                </c:pt>
                <c:pt idx="26">
                  <c:v>46260</c:v>
                </c:pt>
                <c:pt idx="27">
                  <c:v>46261</c:v>
                </c:pt>
                <c:pt idx="28">
                  <c:v>46262</c:v>
                </c:pt>
                <c:pt idx="29">
                  <c:v>46263</c:v>
                </c:pt>
                <c:pt idx="30">
                  <c:v>46264</c:v>
                </c:pt>
                <c:pt idx="31">
                  <c:v>46265</c:v>
                </c:pt>
                <c:pt idx="32">
                  <c:v>46266</c:v>
                </c:pt>
              </c:numCache>
            </c:numRef>
          </c:cat>
          <c:val>
            <c:numRef>
              <c:f>'[1]24~26 비교'!$F$219:$F$251</c:f>
              <c:numCache>
                <c:formatCode>_("₩"* #,##0_);_("₩"* \(#,##0\);_("₩"* "-"_);_(@_)</c:formatCode>
                <c:ptCount val="33"/>
                <c:pt idx="0">
                  <c:v>753600</c:v>
                </c:pt>
                <c:pt idx="1">
                  <c:v>513390</c:v>
                </c:pt>
                <c:pt idx="2">
                  <c:v>1163040</c:v>
                </c:pt>
                <c:pt idx="3">
                  <c:v>969130</c:v>
                </c:pt>
                <c:pt idx="4">
                  <c:v>1493235</c:v>
                </c:pt>
                <c:pt idx="5">
                  <c:v>904560</c:v>
                </c:pt>
                <c:pt idx="6">
                  <c:v>852690</c:v>
                </c:pt>
                <c:pt idx="7">
                  <c:v>1015900</c:v>
                </c:pt>
                <c:pt idx="8">
                  <c:v>387230</c:v>
                </c:pt>
                <c:pt idx="9">
                  <c:v>1022450</c:v>
                </c:pt>
                <c:pt idx="10">
                  <c:v>1447020</c:v>
                </c:pt>
                <c:pt idx="11">
                  <c:v>837260</c:v>
                </c:pt>
                <c:pt idx="12">
                  <c:v>802460</c:v>
                </c:pt>
                <c:pt idx="13">
                  <c:v>1723270</c:v>
                </c:pt>
                <c:pt idx="14">
                  <c:v>1176270</c:v>
                </c:pt>
                <c:pt idx="15">
                  <c:v>572270</c:v>
                </c:pt>
                <c:pt idx="16">
                  <c:v>1071040</c:v>
                </c:pt>
                <c:pt idx="17">
                  <c:v>829560</c:v>
                </c:pt>
                <c:pt idx="18">
                  <c:v>1337022</c:v>
                </c:pt>
                <c:pt idx="19">
                  <c:v>560770</c:v>
                </c:pt>
                <c:pt idx="20">
                  <c:v>1484680</c:v>
                </c:pt>
                <c:pt idx="21">
                  <c:v>1140740</c:v>
                </c:pt>
                <c:pt idx="22">
                  <c:v>434090</c:v>
                </c:pt>
                <c:pt idx="23">
                  <c:v>329310</c:v>
                </c:pt>
                <c:pt idx="24">
                  <c:v>830180</c:v>
                </c:pt>
                <c:pt idx="25">
                  <c:v>941710</c:v>
                </c:pt>
                <c:pt idx="26">
                  <c:v>1499500</c:v>
                </c:pt>
                <c:pt idx="27">
                  <c:v>810260</c:v>
                </c:pt>
                <c:pt idx="28">
                  <c:v>362540</c:v>
                </c:pt>
                <c:pt idx="29">
                  <c:v>3840420</c:v>
                </c:pt>
                <c:pt idx="30">
                  <c:v>3938480</c:v>
                </c:pt>
                <c:pt idx="31">
                  <c:v>4502130</c:v>
                </c:pt>
                <c:pt idx="32">
                  <c:v>3153930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9B-4C92-A1B3-DFCCAA1AB54B}"/>
            </c:ext>
          </c:extLst>
        </c:ser>
        <c:ser>
          <c:idx val="6"/>
          <c:order val="1"/>
          <c:tx>
            <c:v>2025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'[1]24~26 비교'!$U$215:$U$247</c:f>
              <c:numCache>
                <c:formatCode>[$-412]mm"-"dd"-"ddd</c:formatCode>
                <c:ptCount val="33"/>
                <c:pt idx="0">
                  <c:v>46234</c:v>
                </c:pt>
                <c:pt idx="1">
                  <c:v>46235</c:v>
                </c:pt>
                <c:pt idx="2">
                  <c:v>46236</c:v>
                </c:pt>
                <c:pt idx="3">
                  <c:v>46237</c:v>
                </c:pt>
                <c:pt idx="4">
                  <c:v>46238</c:v>
                </c:pt>
                <c:pt idx="5">
                  <c:v>46239</c:v>
                </c:pt>
                <c:pt idx="6">
                  <c:v>46240</c:v>
                </c:pt>
                <c:pt idx="7">
                  <c:v>46241</c:v>
                </c:pt>
                <c:pt idx="8">
                  <c:v>46242</c:v>
                </c:pt>
                <c:pt idx="9">
                  <c:v>46243</c:v>
                </c:pt>
                <c:pt idx="10">
                  <c:v>46244</c:v>
                </c:pt>
                <c:pt idx="11">
                  <c:v>46245</c:v>
                </c:pt>
                <c:pt idx="12">
                  <c:v>46246</c:v>
                </c:pt>
                <c:pt idx="13">
                  <c:v>46247</c:v>
                </c:pt>
                <c:pt idx="14">
                  <c:v>46248</c:v>
                </c:pt>
                <c:pt idx="15">
                  <c:v>46249</c:v>
                </c:pt>
                <c:pt idx="16">
                  <c:v>46250</c:v>
                </c:pt>
                <c:pt idx="17">
                  <c:v>46251</c:v>
                </c:pt>
                <c:pt idx="18">
                  <c:v>46252</c:v>
                </c:pt>
                <c:pt idx="19">
                  <c:v>46253</c:v>
                </c:pt>
                <c:pt idx="20">
                  <c:v>46254</c:v>
                </c:pt>
                <c:pt idx="21">
                  <c:v>46255</c:v>
                </c:pt>
                <c:pt idx="22">
                  <c:v>46256</c:v>
                </c:pt>
                <c:pt idx="23">
                  <c:v>46257</c:v>
                </c:pt>
                <c:pt idx="24">
                  <c:v>46258</c:v>
                </c:pt>
                <c:pt idx="25">
                  <c:v>46259</c:v>
                </c:pt>
                <c:pt idx="26">
                  <c:v>46260</c:v>
                </c:pt>
                <c:pt idx="27">
                  <c:v>46261</c:v>
                </c:pt>
                <c:pt idx="28">
                  <c:v>46262</c:v>
                </c:pt>
                <c:pt idx="29">
                  <c:v>46263</c:v>
                </c:pt>
                <c:pt idx="30">
                  <c:v>46264</c:v>
                </c:pt>
                <c:pt idx="31">
                  <c:v>46265</c:v>
                </c:pt>
                <c:pt idx="32">
                  <c:v>46266</c:v>
                </c:pt>
              </c:numCache>
            </c:numRef>
          </c:cat>
          <c:val>
            <c:numRef>
              <c:f>'[1]24~26 비교'!$Q$217:$Q$249</c:f>
              <c:numCache>
                <c:formatCode>_("₩"* #,##0_);_("₩"* \(#,##0\);_("₩"* "-"_);_(@_)</c:formatCode>
                <c:ptCount val="33"/>
                <c:pt idx="0">
                  <c:v>1083180</c:v>
                </c:pt>
                <c:pt idx="1">
                  <c:v>608050</c:v>
                </c:pt>
                <c:pt idx="2">
                  <c:v>905000</c:v>
                </c:pt>
                <c:pt idx="3">
                  <c:v>2025450</c:v>
                </c:pt>
                <c:pt idx="4">
                  <c:v>1479340</c:v>
                </c:pt>
                <c:pt idx="5">
                  <c:v>1633370</c:v>
                </c:pt>
                <c:pt idx="6">
                  <c:v>1400370</c:v>
                </c:pt>
                <c:pt idx="7">
                  <c:v>1425980</c:v>
                </c:pt>
                <c:pt idx="8">
                  <c:v>908160</c:v>
                </c:pt>
                <c:pt idx="9">
                  <c:v>1367850</c:v>
                </c:pt>
                <c:pt idx="10">
                  <c:v>1470040</c:v>
                </c:pt>
                <c:pt idx="11">
                  <c:v>1644340</c:v>
                </c:pt>
                <c:pt idx="12">
                  <c:v>1510120</c:v>
                </c:pt>
                <c:pt idx="13">
                  <c:v>873390</c:v>
                </c:pt>
                <c:pt idx="14">
                  <c:v>1118200</c:v>
                </c:pt>
                <c:pt idx="15">
                  <c:v>894900</c:v>
                </c:pt>
                <c:pt idx="16">
                  <c:v>1217870</c:v>
                </c:pt>
                <c:pt idx="17">
                  <c:v>1777740</c:v>
                </c:pt>
                <c:pt idx="18">
                  <c:v>875480</c:v>
                </c:pt>
                <c:pt idx="19">
                  <c:v>1520860</c:v>
                </c:pt>
                <c:pt idx="20">
                  <c:v>1687270</c:v>
                </c:pt>
                <c:pt idx="21">
                  <c:v>7538747</c:v>
                </c:pt>
                <c:pt idx="22">
                  <c:v>7585547</c:v>
                </c:pt>
                <c:pt idx="23">
                  <c:v>7554147</c:v>
                </c:pt>
                <c:pt idx="24">
                  <c:v>7570447</c:v>
                </c:pt>
                <c:pt idx="25">
                  <c:v>7594947</c:v>
                </c:pt>
                <c:pt idx="26">
                  <c:v>7658347</c:v>
                </c:pt>
                <c:pt idx="27">
                  <c:v>3940960</c:v>
                </c:pt>
                <c:pt idx="28">
                  <c:v>3412680</c:v>
                </c:pt>
                <c:pt idx="29">
                  <c:v>2094960</c:v>
                </c:pt>
                <c:pt idx="30">
                  <c:v>2038590</c:v>
                </c:pt>
                <c:pt idx="31">
                  <c:v>3556270</c:v>
                </c:pt>
                <c:pt idx="32">
                  <c:v>3383772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9B-4C92-A1B3-DFCCAA1AB54B}"/>
            </c:ext>
          </c:extLst>
        </c:ser>
        <c:ser>
          <c:idx val="0"/>
          <c:order val="2"/>
          <c:tx>
            <c:v>2026</c:v>
          </c:tx>
          <c:spPr>
            <a:ln>
              <a:solidFill>
                <a:srgbClr val="707BD5"/>
              </a:solidFill>
            </a:ln>
          </c:spPr>
          <c:marker>
            <c:symbol val="none"/>
          </c:marker>
          <c:cat>
            <c:numRef>
              <c:f>'[1]24~26 비교'!$U$215:$U$247</c:f>
              <c:numCache>
                <c:formatCode>[$-412]mm"-"dd"-"ddd</c:formatCode>
                <c:ptCount val="33"/>
                <c:pt idx="0">
                  <c:v>46234</c:v>
                </c:pt>
                <c:pt idx="1">
                  <c:v>46235</c:v>
                </c:pt>
                <c:pt idx="2">
                  <c:v>46236</c:v>
                </c:pt>
                <c:pt idx="3">
                  <c:v>46237</c:v>
                </c:pt>
                <c:pt idx="4">
                  <c:v>46238</c:v>
                </c:pt>
                <c:pt idx="5">
                  <c:v>46239</c:v>
                </c:pt>
                <c:pt idx="6">
                  <c:v>46240</c:v>
                </c:pt>
                <c:pt idx="7">
                  <c:v>46241</c:v>
                </c:pt>
                <c:pt idx="8">
                  <c:v>46242</c:v>
                </c:pt>
                <c:pt idx="9">
                  <c:v>46243</c:v>
                </c:pt>
                <c:pt idx="10">
                  <c:v>46244</c:v>
                </c:pt>
                <c:pt idx="11">
                  <c:v>46245</c:v>
                </c:pt>
                <c:pt idx="12">
                  <c:v>46246</c:v>
                </c:pt>
                <c:pt idx="13">
                  <c:v>46247</c:v>
                </c:pt>
                <c:pt idx="14">
                  <c:v>46248</c:v>
                </c:pt>
                <c:pt idx="15">
                  <c:v>46249</c:v>
                </c:pt>
                <c:pt idx="16">
                  <c:v>46250</c:v>
                </c:pt>
                <c:pt idx="17">
                  <c:v>46251</c:v>
                </c:pt>
                <c:pt idx="18">
                  <c:v>46252</c:v>
                </c:pt>
                <c:pt idx="19">
                  <c:v>46253</c:v>
                </c:pt>
                <c:pt idx="20">
                  <c:v>46254</c:v>
                </c:pt>
                <c:pt idx="21">
                  <c:v>46255</c:v>
                </c:pt>
                <c:pt idx="22">
                  <c:v>46256</c:v>
                </c:pt>
                <c:pt idx="23">
                  <c:v>46257</c:v>
                </c:pt>
                <c:pt idx="24">
                  <c:v>46258</c:v>
                </c:pt>
                <c:pt idx="25">
                  <c:v>46259</c:v>
                </c:pt>
                <c:pt idx="26">
                  <c:v>46260</c:v>
                </c:pt>
                <c:pt idx="27">
                  <c:v>46261</c:v>
                </c:pt>
                <c:pt idx="28">
                  <c:v>46262</c:v>
                </c:pt>
                <c:pt idx="29">
                  <c:v>46263</c:v>
                </c:pt>
                <c:pt idx="30">
                  <c:v>46264</c:v>
                </c:pt>
                <c:pt idx="31">
                  <c:v>46265</c:v>
                </c:pt>
                <c:pt idx="32">
                  <c:v>46266</c:v>
                </c:pt>
              </c:numCache>
            </c:numRef>
          </c:cat>
          <c:val>
            <c:numRef>
              <c:f>'[1]24~26 비교'!$AB$215:$AB$247</c:f>
              <c:numCache>
                <c:formatCode>_("₩"* #,##0_);_("₩"* \(#,##0\);_("₩"* "-"_);_(@_)</c:formatCode>
                <c:ptCount val="33"/>
                <c:pt idx="0">
                  <c:v>729030</c:v>
                </c:pt>
                <c:pt idx="1">
                  <c:v>552240</c:v>
                </c:pt>
                <c:pt idx="2">
                  <c:v>772920</c:v>
                </c:pt>
                <c:pt idx="3">
                  <c:v>691869</c:v>
                </c:pt>
                <c:pt idx="4">
                  <c:v>789880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9B-4C92-A1B3-DFCCAA1AB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9316751"/>
        <c:axId val="1949317167"/>
      </c:lineChart>
      <c:dateAx>
        <c:axId val="1949316751"/>
        <c:scaling>
          <c:orientation val="minMax"/>
          <c:max val="46266"/>
          <c:min val="46234"/>
        </c:scaling>
        <c:delete val="0"/>
        <c:axPos val="b"/>
        <c:numFmt formatCode="[$-412]mm&quot;-&quot;dd&quot;-&quot;d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317167"/>
        <c:crosses val="autoZero"/>
        <c:auto val="1"/>
        <c:lblOffset val="100"/>
        <c:baseTimeUnit val="days"/>
      </c:dateAx>
      <c:valAx>
        <c:axId val="1949317167"/>
        <c:scaling>
          <c:orientation val="minMax"/>
          <c:max val="1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₩&quot;* #,##0_);_(&quot;₩&quot;* \(#,##0\);_(&quot;₩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316751"/>
        <c:crosses val="autoZero"/>
        <c:crossBetween val="between"/>
        <c:majorUnit val="2000000"/>
        <c:minorUnit val="100000"/>
      </c:valAx>
    </c:plotArea>
    <c:legend>
      <c:legendPos val="b"/>
      <c:overlay val="0"/>
      <c:spPr>
        <a:noFill/>
        <a:ln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aseline="0"/>
              <a:t>위시 매출 비교 그래프 </a:t>
            </a:r>
            <a:r>
              <a:rPr lang="en-US" altLang="ko-KR" baseline="0"/>
              <a:t>YoY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9230395109781374E-2"/>
          <c:y val="0.19078703703703703"/>
          <c:w val="0.90962299342271713"/>
          <c:h val="0.48125765529308834"/>
        </c:manualLayout>
      </c:layout>
      <c:lineChart>
        <c:grouping val="standard"/>
        <c:varyColors val="0"/>
        <c:ser>
          <c:idx val="0"/>
          <c:order val="0"/>
          <c:tx>
            <c:v>2025</c:v>
          </c:tx>
          <c:spPr>
            <a:ln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'[1]24~26 비교'!$U$215:$U$247</c:f>
              <c:numCache>
                <c:formatCode>[$-412]mm"-"dd"-"ddd</c:formatCode>
                <c:ptCount val="33"/>
                <c:pt idx="0">
                  <c:v>46234</c:v>
                </c:pt>
                <c:pt idx="1">
                  <c:v>46235</c:v>
                </c:pt>
                <c:pt idx="2">
                  <c:v>46236</c:v>
                </c:pt>
                <c:pt idx="3">
                  <c:v>46237</c:v>
                </c:pt>
                <c:pt idx="4">
                  <c:v>46238</c:v>
                </c:pt>
                <c:pt idx="5">
                  <c:v>46239</c:v>
                </c:pt>
                <c:pt idx="6">
                  <c:v>46240</c:v>
                </c:pt>
                <c:pt idx="7">
                  <c:v>46241</c:v>
                </c:pt>
                <c:pt idx="8">
                  <c:v>46242</c:v>
                </c:pt>
                <c:pt idx="9">
                  <c:v>46243</c:v>
                </c:pt>
                <c:pt idx="10">
                  <c:v>46244</c:v>
                </c:pt>
                <c:pt idx="11">
                  <c:v>46245</c:v>
                </c:pt>
                <c:pt idx="12">
                  <c:v>46246</c:v>
                </c:pt>
                <c:pt idx="13">
                  <c:v>46247</c:v>
                </c:pt>
                <c:pt idx="14">
                  <c:v>46248</c:v>
                </c:pt>
                <c:pt idx="15">
                  <c:v>46249</c:v>
                </c:pt>
                <c:pt idx="16">
                  <c:v>46250</c:v>
                </c:pt>
                <c:pt idx="17">
                  <c:v>46251</c:v>
                </c:pt>
                <c:pt idx="18">
                  <c:v>46252</c:v>
                </c:pt>
                <c:pt idx="19">
                  <c:v>46253</c:v>
                </c:pt>
                <c:pt idx="20">
                  <c:v>46254</c:v>
                </c:pt>
                <c:pt idx="21">
                  <c:v>46255</c:v>
                </c:pt>
                <c:pt idx="22">
                  <c:v>46256</c:v>
                </c:pt>
                <c:pt idx="23">
                  <c:v>46257</c:v>
                </c:pt>
                <c:pt idx="24">
                  <c:v>46258</c:v>
                </c:pt>
                <c:pt idx="25">
                  <c:v>46259</c:v>
                </c:pt>
                <c:pt idx="26">
                  <c:v>46260</c:v>
                </c:pt>
                <c:pt idx="27">
                  <c:v>46261</c:v>
                </c:pt>
                <c:pt idx="28">
                  <c:v>46262</c:v>
                </c:pt>
                <c:pt idx="29">
                  <c:v>46263</c:v>
                </c:pt>
                <c:pt idx="30">
                  <c:v>46264</c:v>
                </c:pt>
                <c:pt idx="31">
                  <c:v>46265</c:v>
                </c:pt>
                <c:pt idx="32">
                  <c:v>46266</c:v>
                </c:pt>
              </c:numCache>
            </c:numRef>
          </c:cat>
          <c:val>
            <c:numRef>
              <c:f>'[1]24~26 비교'!$R$217:$R$249</c:f>
              <c:numCache>
                <c:formatCode>_("₩"* #,##0_);_("₩"* \(#,##0\);_("₩"* "-"_);_(@_)</c:formatCode>
                <c:ptCount val="3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88-4BD0-BE6F-1FBBA2C0789B}"/>
            </c:ext>
          </c:extLst>
        </c:ser>
        <c:ser>
          <c:idx val="1"/>
          <c:order val="1"/>
          <c:tx>
            <c:v>2026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'[1]24~26 비교'!$U$215:$U$247</c:f>
              <c:numCache>
                <c:formatCode>[$-412]mm"-"dd"-"ddd</c:formatCode>
                <c:ptCount val="33"/>
                <c:pt idx="0">
                  <c:v>46234</c:v>
                </c:pt>
                <c:pt idx="1">
                  <c:v>46235</c:v>
                </c:pt>
                <c:pt idx="2">
                  <c:v>46236</c:v>
                </c:pt>
                <c:pt idx="3">
                  <c:v>46237</c:v>
                </c:pt>
                <c:pt idx="4">
                  <c:v>46238</c:v>
                </c:pt>
                <c:pt idx="5">
                  <c:v>46239</c:v>
                </c:pt>
                <c:pt idx="6">
                  <c:v>46240</c:v>
                </c:pt>
                <c:pt idx="7">
                  <c:v>46241</c:v>
                </c:pt>
                <c:pt idx="8">
                  <c:v>46242</c:v>
                </c:pt>
                <c:pt idx="9">
                  <c:v>46243</c:v>
                </c:pt>
                <c:pt idx="10">
                  <c:v>46244</c:v>
                </c:pt>
                <c:pt idx="11">
                  <c:v>46245</c:v>
                </c:pt>
                <c:pt idx="12">
                  <c:v>46246</c:v>
                </c:pt>
                <c:pt idx="13">
                  <c:v>46247</c:v>
                </c:pt>
                <c:pt idx="14">
                  <c:v>46248</c:v>
                </c:pt>
                <c:pt idx="15">
                  <c:v>46249</c:v>
                </c:pt>
                <c:pt idx="16">
                  <c:v>46250</c:v>
                </c:pt>
                <c:pt idx="17">
                  <c:v>46251</c:v>
                </c:pt>
                <c:pt idx="18">
                  <c:v>46252</c:v>
                </c:pt>
                <c:pt idx="19">
                  <c:v>46253</c:v>
                </c:pt>
                <c:pt idx="20">
                  <c:v>46254</c:v>
                </c:pt>
                <c:pt idx="21">
                  <c:v>46255</c:v>
                </c:pt>
                <c:pt idx="22">
                  <c:v>46256</c:v>
                </c:pt>
                <c:pt idx="23">
                  <c:v>46257</c:v>
                </c:pt>
                <c:pt idx="24">
                  <c:v>46258</c:v>
                </c:pt>
                <c:pt idx="25">
                  <c:v>46259</c:v>
                </c:pt>
                <c:pt idx="26">
                  <c:v>46260</c:v>
                </c:pt>
                <c:pt idx="27">
                  <c:v>46261</c:v>
                </c:pt>
                <c:pt idx="28">
                  <c:v>46262</c:v>
                </c:pt>
                <c:pt idx="29">
                  <c:v>46263</c:v>
                </c:pt>
                <c:pt idx="30">
                  <c:v>46264</c:v>
                </c:pt>
                <c:pt idx="31">
                  <c:v>46265</c:v>
                </c:pt>
                <c:pt idx="32">
                  <c:v>46266</c:v>
                </c:pt>
              </c:numCache>
            </c:numRef>
          </c:cat>
          <c:val>
            <c:numRef>
              <c:f>'[1]24~26 비교'!$AC$215:$AC$247</c:f>
              <c:numCache>
                <c:formatCode>_("₩"* #,##0_);_("₩"* \(#,##0\);_("₩"* "-"_);_(@_)</c:formatCode>
                <c:ptCount val="33"/>
                <c:pt idx="0">
                  <c:v>139550</c:v>
                </c:pt>
                <c:pt idx="1">
                  <c:v>52780</c:v>
                </c:pt>
                <c:pt idx="2">
                  <c:v>119500</c:v>
                </c:pt>
                <c:pt idx="3">
                  <c:v>187500</c:v>
                </c:pt>
                <c:pt idx="4">
                  <c:v>108500</c:v>
                </c:pt>
                <c:pt idx="5">
                  <c:v>32000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88-4BD0-BE6F-1FBBA2C07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9316751"/>
        <c:axId val="1949317167"/>
        <c:extLst/>
      </c:lineChart>
      <c:dateAx>
        <c:axId val="1949316751"/>
        <c:scaling>
          <c:orientation val="minMax"/>
          <c:max val="46266"/>
          <c:min val="46234"/>
        </c:scaling>
        <c:delete val="0"/>
        <c:axPos val="b"/>
        <c:numFmt formatCode="[$-412]mm&quot;-&quot;dd&quot;-&quot;d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317167"/>
        <c:crosses val="autoZero"/>
        <c:auto val="1"/>
        <c:lblOffset val="100"/>
        <c:baseTimeUnit val="days"/>
      </c:dateAx>
      <c:valAx>
        <c:axId val="1949317167"/>
        <c:scaling>
          <c:orientation val="minMax"/>
          <c:max val="3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₩&quot;* #,##0_);_(&quot;₩&quot;* \(#,##0\);_(&quot;₩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316751"/>
        <c:crosses val="autoZero"/>
        <c:crossBetween val="between"/>
        <c:majorUnit val="500000"/>
        <c:minorUnit val="200000"/>
      </c:valAx>
    </c:plotArea>
    <c:legend>
      <c:legendPos val="b"/>
      <c:overlay val="0"/>
      <c:spPr>
        <a:noFill/>
        <a:ln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295274</xdr:colOff>
      <xdr:row>318</xdr:row>
      <xdr:rowOff>114300</xdr:rowOff>
    </xdr:from>
    <xdr:to>
      <xdr:col>19</xdr:col>
      <xdr:colOff>1352550</xdr:colOff>
      <xdr:row>331</xdr:row>
      <xdr:rowOff>133350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869499D-43AD-417E-BC04-ABC9EDA63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657224</xdr:colOff>
      <xdr:row>370</xdr:row>
      <xdr:rowOff>28575</xdr:rowOff>
    </xdr:from>
    <xdr:to>
      <xdr:col>45</xdr:col>
      <xdr:colOff>819149</xdr:colOff>
      <xdr:row>381</xdr:row>
      <xdr:rowOff>161925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1F57AC3-9BCE-4B2A-85E1-AE452B6E9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9525</xdr:colOff>
      <xdr:row>381</xdr:row>
      <xdr:rowOff>161925</xdr:rowOff>
    </xdr:from>
    <xdr:to>
      <xdr:col>45</xdr:col>
      <xdr:colOff>857249</xdr:colOff>
      <xdr:row>394</xdr:row>
      <xdr:rowOff>180975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0697702-D022-4D3A-8716-C3CB29306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666751</xdr:colOff>
      <xdr:row>394</xdr:row>
      <xdr:rowOff>190500</xdr:rowOff>
    </xdr:from>
    <xdr:to>
      <xdr:col>45</xdr:col>
      <xdr:colOff>857251</xdr:colOff>
      <xdr:row>408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3CF64A-32B6-4944-8219-40EF62F3C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49</xdr:col>
      <xdr:colOff>676274</xdr:colOff>
      <xdr:row>247</xdr:row>
      <xdr:rowOff>28575</xdr:rowOff>
    </xdr:from>
    <xdr:to>
      <xdr:col>56</xdr:col>
      <xdr:colOff>838199</xdr:colOff>
      <xdr:row>258</xdr:row>
      <xdr:rowOff>161925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9E5137C0-7CDF-4793-92F7-E1619D621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49</xdr:col>
      <xdr:colOff>666750</xdr:colOff>
      <xdr:row>258</xdr:row>
      <xdr:rowOff>152400</xdr:rowOff>
    </xdr:from>
    <xdr:to>
      <xdr:col>56</xdr:col>
      <xdr:colOff>838199</xdr:colOff>
      <xdr:row>271</xdr:row>
      <xdr:rowOff>171450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6059BF4-7D91-4628-9479-17C1731C58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49</xdr:col>
      <xdr:colOff>647701</xdr:colOff>
      <xdr:row>271</xdr:row>
      <xdr:rowOff>180975</xdr:rowOff>
    </xdr:from>
    <xdr:to>
      <xdr:col>56</xdr:col>
      <xdr:colOff>838201</xdr:colOff>
      <xdr:row>284</xdr:row>
      <xdr:rowOff>200025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DD065C8-0B00-4D12-9487-E34350609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46384;&#50724;&#44592;/&#47588;&#52636;&#54788;&#54889;&#44536;&#47000;&#54532;(~27&#45380;)%20(1).xlsx" TargetMode="External"/><Relationship Id="rId2" Type="http://schemas.openxmlformats.org/officeDocument/2006/relationships/externalLinkPath" Target="file:///C:\Users\damon\Desktop\&#46384;&#50724;&#44592;\&#47588;&#52636;&#54788;&#54889;&#44536;&#47000;&#54532;(~27&#45380;)%20(1).xlsx" TargetMode="External"/><Relationship Id="rId1" Type="http://schemas.openxmlformats.org/officeDocument/2006/relationships/externalLinkPath" Target="/Users/damon/Desktop/&#46384;&#50724;&#44592;/&#47588;&#52636;&#54788;&#54889;&#44536;&#47000;&#54532;(~27&#45380;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4~26 비교"/>
      <sheetName val="23~25 비교"/>
      <sheetName val="22-24 비교 "/>
      <sheetName val="21-23 비교"/>
      <sheetName val="20-22 비교"/>
      <sheetName val="20-21 비교"/>
      <sheetName val="오프마켓"/>
    </sheetNames>
    <sheetDataSet>
      <sheetData sheetId="0">
        <row r="186">
          <cell r="F186">
            <v>3277940</v>
          </cell>
        </row>
        <row r="187">
          <cell r="F187">
            <v>3087140</v>
          </cell>
        </row>
        <row r="188">
          <cell r="F188">
            <v>2650460</v>
          </cell>
        </row>
        <row r="189">
          <cell r="F189">
            <v>1386170</v>
          </cell>
        </row>
        <row r="190">
          <cell r="F190">
            <v>1320360</v>
          </cell>
        </row>
        <row r="191">
          <cell r="F191">
            <v>781100</v>
          </cell>
        </row>
        <row r="192">
          <cell r="F192">
            <v>745140</v>
          </cell>
        </row>
        <row r="193">
          <cell r="F193">
            <v>930120</v>
          </cell>
        </row>
        <row r="194">
          <cell r="F194">
            <v>1436700</v>
          </cell>
        </row>
        <row r="195">
          <cell r="F195">
            <v>1780900</v>
          </cell>
        </row>
        <row r="196">
          <cell r="F196">
            <v>1509180</v>
          </cell>
        </row>
        <row r="197">
          <cell r="F197">
            <v>1500680</v>
          </cell>
        </row>
        <row r="198">
          <cell r="F198">
            <v>939880</v>
          </cell>
        </row>
        <row r="199">
          <cell r="F199">
            <v>538440</v>
          </cell>
        </row>
        <row r="200">
          <cell r="F200">
            <v>895400</v>
          </cell>
        </row>
        <row r="201">
          <cell r="F201">
            <v>1868420</v>
          </cell>
        </row>
        <row r="202">
          <cell r="F202">
            <v>1376340</v>
          </cell>
        </row>
        <row r="203">
          <cell r="F203">
            <v>2726460</v>
          </cell>
        </row>
        <row r="204">
          <cell r="F204">
            <v>2071260</v>
          </cell>
        </row>
        <row r="205">
          <cell r="F205">
            <v>976340</v>
          </cell>
        </row>
        <row r="206">
          <cell r="F206">
            <v>951150</v>
          </cell>
        </row>
        <row r="207">
          <cell r="F207">
            <v>1481710</v>
          </cell>
        </row>
        <row r="208">
          <cell r="F208">
            <v>1506240</v>
          </cell>
        </row>
        <row r="209">
          <cell r="F209">
            <v>1867730</v>
          </cell>
        </row>
        <row r="210">
          <cell r="F210">
            <v>869910</v>
          </cell>
        </row>
        <row r="211">
          <cell r="F211">
            <v>765110</v>
          </cell>
        </row>
        <row r="212">
          <cell r="F212">
            <v>1305300</v>
          </cell>
        </row>
        <row r="213">
          <cell r="F213">
            <v>897570</v>
          </cell>
        </row>
        <row r="214">
          <cell r="F214">
            <v>629380</v>
          </cell>
        </row>
        <row r="215">
          <cell r="F215">
            <v>1529730</v>
          </cell>
          <cell r="U215">
            <v>46234</v>
          </cell>
          <cell r="Y215">
            <v>15284340</v>
          </cell>
          <cell r="AB215">
            <v>729030</v>
          </cell>
          <cell r="AC215">
            <v>139550</v>
          </cell>
        </row>
        <row r="216">
          <cell r="F216">
            <v>1727700</v>
          </cell>
          <cell r="U216">
            <v>46235</v>
          </cell>
          <cell r="Y216">
            <v>1113560</v>
          </cell>
          <cell r="AB216">
            <v>552240</v>
          </cell>
          <cell r="AC216">
            <v>52780</v>
          </cell>
        </row>
        <row r="217">
          <cell r="F217">
            <v>1072060</v>
          </cell>
          <cell r="N217">
            <v>18885198</v>
          </cell>
          <cell r="Q217">
            <v>1083180</v>
          </cell>
          <cell r="U217">
            <v>46236</v>
          </cell>
          <cell r="Y217">
            <v>18213710</v>
          </cell>
          <cell r="AB217">
            <v>772920</v>
          </cell>
          <cell r="AC217">
            <v>119500</v>
          </cell>
        </row>
        <row r="218">
          <cell r="F218">
            <v>1623380</v>
          </cell>
          <cell r="N218">
            <v>3322130</v>
          </cell>
          <cell r="Q218">
            <v>608050</v>
          </cell>
          <cell r="U218">
            <v>46237</v>
          </cell>
          <cell r="Y218">
            <v>1257410</v>
          </cell>
          <cell r="AB218">
            <v>691869</v>
          </cell>
          <cell r="AC218">
            <v>187500</v>
          </cell>
        </row>
        <row r="219">
          <cell r="E219">
            <v>1694406</v>
          </cell>
          <cell r="F219">
            <v>753600</v>
          </cell>
          <cell r="N219">
            <v>13515337</v>
          </cell>
          <cell r="Q219">
            <v>905000</v>
          </cell>
          <cell r="U219">
            <v>46238</v>
          </cell>
          <cell r="Y219">
            <v>17174570</v>
          </cell>
          <cell r="AB219">
            <v>789880</v>
          </cell>
          <cell r="AC219">
            <v>108500</v>
          </cell>
        </row>
        <row r="220">
          <cell r="E220">
            <v>1098653</v>
          </cell>
          <cell r="F220">
            <v>513390</v>
          </cell>
          <cell r="N220">
            <v>4385378</v>
          </cell>
          <cell r="Q220">
            <v>2025450</v>
          </cell>
          <cell r="U220">
            <v>46239</v>
          </cell>
          <cell r="AC220">
            <v>32000</v>
          </cell>
        </row>
        <row r="221">
          <cell r="E221">
            <v>1587789</v>
          </cell>
          <cell r="F221">
            <v>1163040</v>
          </cell>
          <cell r="N221">
            <v>19475036</v>
          </cell>
          <cell r="Q221">
            <v>1479340</v>
          </cell>
          <cell r="U221">
            <v>46240</v>
          </cell>
        </row>
        <row r="222">
          <cell r="E222">
            <v>16584532</v>
          </cell>
          <cell r="F222">
            <v>969130</v>
          </cell>
          <cell r="N222">
            <v>11789006</v>
          </cell>
          <cell r="Q222">
            <v>1633370</v>
          </cell>
          <cell r="U222">
            <v>46241</v>
          </cell>
        </row>
        <row r="223">
          <cell r="E223">
            <v>16999202</v>
          </cell>
          <cell r="F223">
            <v>1493235</v>
          </cell>
          <cell r="N223">
            <v>12516712</v>
          </cell>
          <cell r="Q223">
            <v>1400370</v>
          </cell>
          <cell r="U223">
            <v>46242</v>
          </cell>
        </row>
        <row r="224">
          <cell r="E224">
            <v>12984506</v>
          </cell>
          <cell r="F224">
            <v>904560</v>
          </cell>
          <cell r="N224">
            <v>14674129</v>
          </cell>
          <cell r="Q224">
            <v>1425980</v>
          </cell>
          <cell r="U224">
            <v>46243</v>
          </cell>
        </row>
        <row r="225">
          <cell r="E225">
            <v>11377701</v>
          </cell>
          <cell r="F225">
            <v>852690</v>
          </cell>
          <cell r="N225">
            <v>6586512</v>
          </cell>
          <cell r="Q225">
            <v>908160</v>
          </cell>
          <cell r="U225">
            <v>46244</v>
          </cell>
        </row>
        <row r="226">
          <cell r="E226">
            <v>11966212</v>
          </cell>
          <cell r="F226">
            <v>1015900</v>
          </cell>
          <cell r="N226">
            <v>4248498</v>
          </cell>
          <cell r="Q226">
            <v>1367850</v>
          </cell>
          <cell r="U226">
            <v>46245</v>
          </cell>
        </row>
        <row r="227">
          <cell r="E227">
            <v>3686090</v>
          </cell>
          <cell r="F227">
            <v>387230</v>
          </cell>
          <cell r="N227">
            <v>16331941</v>
          </cell>
          <cell r="Q227">
            <v>1470040</v>
          </cell>
          <cell r="U227">
            <v>46246</v>
          </cell>
        </row>
        <row r="228">
          <cell r="E228">
            <v>5633296</v>
          </cell>
          <cell r="F228">
            <v>1022450</v>
          </cell>
          <cell r="N228">
            <v>30322130</v>
          </cell>
          <cell r="Q228">
            <v>1644340</v>
          </cell>
          <cell r="U228">
            <v>46247</v>
          </cell>
        </row>
        <row r="229">
          <cell r="E229">
            <v>8320165</v>
          </cell>
          <cell r="F229">
            <v>1447020</v>
          </cell>
          <cell r="N229">
            <v>10460915</v>
          </cell>
          <cell r="Q229">
            <v>1510120</v>
          </cell>
          <cell r="U229">
            <v>46248</v>
          </cell>
        </row>
        <row r="230">
          <cell r="E230">
            <v>7907036</v>
          </cell>
          <cell r="F230">
            <v>837260</v>
          </cell>
          <cell r="N230">
            <v>8385698</v>
          </cell>
          <cell r="Q230">
            <v>873390</v>
          </cell>
          <cell r="U230">
            <v>46249</v>
          </cell>
        </row>
        <row r="231">
          <cell r="E231">
            <v>5646856</v>
          </cell>
          <cell r="F231">
            <v>802460</v>
          </cell>
          <cell r="N231">
            <v>5224474</v>
          </cell>
          <cell r="Q231">
            <v>1118200</v>
          </cell>
          <cell r="U231">
            <v>46250</v>
          </cell>
        </row>
        <row r="232">
          <cell r="E232">
            <v>6042383</v>
          </cell>
          <cell r="F232">
            <v>1723270</v>
          </cell>
          <cell r="N232">
            <v>5443588</v>
          </cell>
          <cell r="Q232">
            <v>894900</v>
          </cell>
          <cell r="U232">
            <v>46251</v>
          </cell>
        </row>
        <row r="233">
          <cell r="E233">
            <v>10308738</v>
          </cell>
          <cell r="F233">
            <v>1176270</v>
          </cell>
          <cell r="N233">
            <v>8608409</v>
          </cell>
          <cell r="Q233">
            <v>1217870</v>
          </cell>
          <cell r="U233">
            <v>46252</v>
          </cell>
        </row>
        <row r="234">
          <cell r="E234">
            <v>1800082</v>
          </cell>
          <cell r="F234">
            <v>572270</v>
          </cell>
          <cell r="N234">
            <v>17008491</v>
          </cell>
          <cell r="Q234">
            <v>1777740</v>
          </cell>
          <cell r="U234">
            <v>46253</v>
          </cell>
        </row>
        <row r="235">
          <cell r="E235">
            <v>1224654</v>
          </cell>
          <cell r="F235">
            <v>1071040</v>
          </cell>
          <cell r="N235">
            <v>11320312</v>
          </cell>
          <cell r="Q235">
            <v>875480</v>
          </cell>
          <cell r="U235">
            <v>46254</v>
          </cell>
        </row>
        <row r="236">
          <cell r="E236">
            <v>17323106</v>
          </cell>
          <cell r="F236">
            <v>829560</v>
          </cell>
          <cell r="N236">
            <v>2801231</v>
          </cell>
          <cell r="Q236">
            <v>1520860</v>
          </cell>
          <cell r="U236">
            <v>46255</v>
          </cell>
        </row>
        <row r="237">
          <cell r="E237">
            <v>16577745</v>
          </cell>
          <cell r="F237">
            <v>1337022</v>
          </cell>
          <cell r="N237">
            <v>42400</v>
          </cell>
          <cell r="Q237">
            <v>1687270</v>
          </cell>
          <cell r="U237">
            <v>46256</v>
          </cell>
        </row>
        <row r="238">
          <cell r="E238">
            <v>17081258</v>
          </cell>
          <cell r="F238">
            <v>560770</v>
          </cell>
          <cell r="N238">
            <v>53324704</v>
          </cell>
          <cell r="Q238">
            <v>7538747</v>
          </cell>
          <cell r="U238">
            <v>46257</v>
          </cell>
        </row>
        <row r="239">
          <cell r="E239">
            <v>14517138</v>
          </cell>
          <cell r="F239">
            <v>1484680</v>
          </cell>
          <cell r="N239">
            <v>35925249</v>
          </cell>
          <cell r="Q239">
            <v>7585547</v>
          </cell>
          <cell r="U239">
            <v>46258</v>
          </cell>
        </row>
        <row r="240">
          <cell r="E240">
            <v>9446879</v>
          </cell>
          <cell r="F240">
            <v>1140740</v>
          </cell>
          <cell r="N240">
            <v>36859910</v>
          </cell>
          <cell r="Q240">
            <v>7554147</v>
          </cell>
          <cell r="U240">
            <v>46259</v>
          </cell>
        </row>
        <row r="241">
          <cell r="E241">
            <v>1280969</v>
          </cell>
          <cell r="F241">
            <v>434090</v>
          </cell>
          <cell r="N241">
            <v>44392909</v>
          </cell>
          <cell r="Q241">
            <v>7570447</v>
          </cell>
          <cell r="U241">
            <v>46260</v>
          </cell>
        </row>
        <row r="242">
          <cell r="E242">
            <v>2000856</v>
          </cell>
          <cell r="F242">
            <v>329310</v>
          </cell>
          <cell r="N242">
            <v>19409090</v>
          </cell>
          <cell r="Q242">
            <v>7594947</v>
          </cell>
          <cell r="U242">
            <v>46261</v>
          </cell>
        </row>
        <row r="243">
          <cell r="E243">
            <v>15643836</v>
          </cell>
          <cell r="F243">
            <v>830180</v>
          </cell>
          <cell r="N243">
            <v>22586472</v>
          </cell>
          <cell r="Q243">
            <v>7658347</v>
          </cell>
          <cell r="U243">
            <v>46262</v>
          </cell>
        </row>
        <row r="244">
          <cell r="E244">
            <v>1236253</v>
          </cell>
          <cell r="F244">
            <v>941710</v>
          </cell>
          <cell r="N244">
            <v>8166490</v>
          </cell>
          <cell r="Q244">
            <v>3940960</v>
          </cell>
          <cell r="U244">
            <v>46263</v>
          </cell>
        </row>
        <row r="245">
          <cell r="E245">
            <v>93010</v>
          </cell>
          <cell r="F245">
            <v>1499500</v>
          </cell>
          <cell r="N245">
            <v>26569419</v>
          </cell>
          <cell r="Q245">
            <v>3412680</v>
          </cell>
          <cell r="U245">
            <v>46264</v>
          </cell>
        </row>
        <row r="246">
          <cell r="E246">
            <v>0</v>
          </cell>
          <cell r="F246">
            <v>810260</v>
          </cell>
          <cell r="N246">
            <v>6903499</v>
          </cell>
          <cell r="Q246">
            <v>2094960</v>
          </cell>
          <cell r="U246">
            <v>46265</v>
          </cell>
        </row>
        <row r="247">
          <cell r="E247">
            <v>0</v>
          </cell>
          <cell r="F247">
            <v>362540</v>
          </cell>
          <cell r="N247">
            <v>6619776</v>
          </cell>
          <cell r="Q247">
            <v>2038590</v>
          </cell>
          <cell r="U247">
            <v>46266</v>
          </cell>
        </row>
        <row r="248">
          <cell r="E248">
            <v>9383980</v>
          </cell>
          <cell r="F248">
            <v>3840420</v>
          </cell>
          <cell r="N248">
            <v>15412484</v>
          </cell>
          <cell r="Q248">
            <v>3556270</v>
          </cell>
        </row>
        <row r="249">
          <cell r="E249">
            <v>11983320</v>
          </cell>
          <cell r="F249">
            <v>3938480</v>
          </cell>
          <cell r="N249">
            <v>8988374</v>
          </cell>
          <cell r="Q249">
            <v>3383772</v>
          </cell>
        </row>
        <row r="250">
          <cell r="E250">
            <v>36181512</v>
          </cell>
          <cell r="F250">
            <v>4502130</v>
          </cell>
        </row>
        <row r="251">
          <cell r="E251">
            <v>23190337</v>
          </cell>
          <cell r="F251">
            <v>3153930</v>
          </cell>
        </row>
      </sheetData>
      <sheetData sheetId="1">
        <row r="186">
          <cell r="O186">
            <v>3277940</v>
          </cell>
        </row>
        <row r="187">
          <cell r="O187">
            <v>3087140</v>
          </cell>
        </row>
        <row r="188">
          <cell r="O188">
            <v>2650460</v>
          </cell>
        </row>
        <row r="189">
          <cell r="O189">
            <v>1386170</v>
          </cell>
        </row>
        <row r="190">
          <cell r="O190">
            <v>1320360</v>
          </cell>
        </row>
        <row r="191">
          <cell r="O191">
            <v>781100</v>
          </cell>
        </row>
        <row r="192">
          <cell r="O192">
            <v>745140</v>
          </cell>
        </row>
        <row r="193">
          <cell r="O193">
            <v>930120</v>
          </cell>
        </row>
        <row r="194">
          <cell r="O194">
            <v>1436700</v>
          </cell>
        </row>
        <row r="195">
          <cell r="O195">
            <v>1780900</v>
          </cell>
        </row>
        <row r="196">
          <cell r="O196">
            <v>1509180</v>
          </cell>
        </row>
        <row r="197">
          <cell r="O197">
            <v>1500680</v>
          </cell>
        </row>
        <row r="198">
          <cell r="O198">
            <v>939880</v>
          </cell>
        </row>
        <row r="199">
          <cell r="O199">
            <v>538440</v>
          </cell>
        </row>
        <row r="200">
          <cell r="O200">
            <v>895400</v>
          </cell>
        </row>
        <row r="201">
          <cell r="O201">
            <v>1868420</v>
          </cell>
        </row>
        <row r="202">
          <cell r="O202">
            <v>1376340</v>
          </cell>
        </row>
        <row r="203">
          <cell r="O203">
            <v>2726460</v>
          </cell>
        </row>
        <row r="204">
          <cell r="O204">
            <v>2071260</v>
          </cell>
        </row>
        <row r="205">
          <cell r="O205">
            <v>976340</v>
          </cell>
        </row>
        <row r="206">
          <cell r="O206">
            <v>951150</v>
          </cell>
        </row>
        <row r="207">
          <cell r="O207">
            <v>1481710</v>
          </cell>
        </row>
        <row r="208">
          <cell r="O208">
            <v>1506240</v>
          </cell>
        </row>
        <row r="209">
          <cell r="O209">
            <v>1867730</v>
          </cell>
        </row>
        <row r="210">
          <cell r="O210">
            <v>869910</v>
          </cell>
        </row>
        <row r="211">
          <cell r="O211">
            <v>765110</v>
          </cell>
        </row>
        <row r="212">
          <cell r="O212">
            <v>1305300</v>
          </cell>
        </row>
        <row r="213">
          <cell r="O213">
            <v>897570</v>
          </cell>
        </row>
        <row r="214">
          <cell r="O214">
            <v>629380</v>
          </cell>
        </row>
        <row r="215">
          <cell r="O215">
            <v>1529730</v>
          </cell>
        </row>
        <row r="216">
          <cell r="O216">
            <v>1727700</v>
          </cell>
        </row>
        <row r="217">
          <cell r="O217">
            <v>1072060</v>
          </cell>
        </row>
        <row r="218">
          <cell r="O218">
            <v>1623380</v>
          </cell>
        </row>
        <row r="249">
          <cell r="O249">
            <v>3938480</v>
          </cell>
        </row>
        <row r="250">
          <cell r="F250">
            <v>529060</v>
          </cell>
          <cell r="O250">
            <v>4502130</v>
          </cell>
        </row>
        <row r="251">
          <cell r="F251">
            <v>2345420</v>
          </cell>
          <cell r="O251">
            <v>3153930</v>
          </cell>
        </row>
        <row r="252">
          <cell r="F252">
            <v>1388120</v>
          </cell>
          <cell r="O252">
            <v>3596690</v>
          </cell>
        </row>
        <row r="253">
          <cell r="F253">
            <v>693161</v>
          </cell>
          <cell r="O253">
            <v>3924850</v>
          </cell>
        </row>
        <row r="254">
          <cell r="F254">
            <v>758570</v>
          </cell>
          <cell r="O254">
            <v>4508330</v>
          </cell>
        </row>
        <row r="255">
          <cell r="F255">
            <v>916620</v>
          </cell>
          <cell r="O255">
            <v>4483140</v>
          </cell>
        </row>
        <row r="256">
          <cell r="F256">
            <v>549330</v>
          </cell>
          <cell r="O256">
            <v>4624170</v>
          </cell>
        </row>
        <row r="257">
          <cell r="F257">
            <v>955130</v>
          </cell>
          <cell r="O257">
            <v>2187760</v>
          </cell>
        </row>
        <row r="258">
          <cell r="F258">
            <v>926450</v>
          </cell>
          <cell r="O258">
            <v>1027300</v>
          </cell>
        </row>
        <row r="259">
          <cell r="F259">
            <v>734130</v>
          </cell>
          <cell r="O259">
            <v>383310</v>
          </cell>
        </row>
        <row r="260">
          <cell r="F260">
            <v>1065300</v>
          </cell>
          <cell r="O260">
            <v>291790</v>
          </cell>
        </row>
        <row r="261">
          <cell r="F261">
            <v>669880</v>
          </cell>
          <cell r="O261">
            <v>359110</v>
          </cell>
        </row>
        <row r="262">
          <cell r="F262">
            <v>362100</v>
          </cell>
          <cell r="O262">
            <v>549010</v>
          </cell>
        </row>
        <row r="263">
          <cell r="F263">
            <v>480300</v>
          </cell>
          <cell r="O263">
            <v>616910</v>
          </cell>
        </row>
        <row r="264">
          <cell r="F264">
            <v>885900</v>
          </cell>
          <cell r="O264">
            <v>1278500</v>
          </cell>
        </row>
        <row r="265">
          <cell r="F265">
            <v>959750</v>
          </cell>
          <cell r="O265">
            <v>2073240</v>
          </cell>
        </row>
        <row r="266">
          <cell r="F266">
            <v>329650</v>
          </cell>
          <cell r="O266">
            <v>3601070</v>
          </cell>
        </row>
        <row r="267">
          <cell r="F267">
            <v>845092</v>
          </cell>
          <cell r="O267">
            <v>1668820</v>
          </cell>
        </row>
        <row r="268">
          <cell r="F268">
            <v>1186250</v>
          </cell>
          <cell r="O268">
            <v>367710</v>
          </cell>
        </row>
        <row r="269">
          <cell r="F269">
            <v>581570</v>
          </cell>
          <cell r="O269">
            <v>610530</v>
          </cell>
        </row>
        <row r="270">
          <cell r="F270">
            <v>356810</v>
          </cell>
          <cell r="O270">
            <v>638900</v>
          </cell>
        </row>
        <row r="271">
          <cell r="F271">
            <v>603060</v>
          </cell>
          <cell r="O271">
            <v>728000</v>
          </cell>
        </row>
        <row r="272">
          <cell r="F272">
            <v>1801290</v>
          </cell>
          <cell r="O272">
            <v>1495826</v>
          </cell>
        </row>
        <row r="273">
          <cell r="F273">
            <v>364500</v>
          </cell>
          <cell r="O273">
            <v>1055550</v>
          </cell>
        </row>
        <row r="274">
          <cell r="F274">
            <v>670180</v>
          </cell>
          <cell r="O274">
            <v>953730</v>
          </cell>
        </row>
        <row r="275">
          <cell r="F275">
            <v>552630</v>
          </cell>
          <cell r="O275">
            <v>453560</v>
          </cell>
        </row>
        <row r="276">
          <cell r="F276">
            <v>492670</v>
          </cell>
          <cell r="O276">
            <v>277020</v>
          </cell>
        </row>
        <row r="277">
          <cell r="F277">
            <v>562000</v>
          </cell>
          <cell r="O277">
            <v>767940</v>
          </cell>
        </row>
        <row r="278">
          <cell r="F278">
            <v>798960</v>
          </cell>
          <cell r="O278">
            <v>961160</v>
          </cell>
        </row>
        <row r="279">
          <cell r="F279">
            <v>614040</v>
          </cell>
          <cell r="O279">
            <v>1082500</v>
          </cell>
        </row>
        <row r="280">
          <cell r="F280">
            <v>1053050</v>
          </cell>
          <cell r="O280">
            <v>2834610</v>
          </cell>
        </row>
        <row r="281">
          <cell r="F281">
            <v>876860</v>
          </cell>
        </row>
        <row r="338">
          <cell r="S338">
            <v>45991</v>
          </cell>
          <cell r="W338">
            <v>18101083</v>
          </cell>
          <cell r="Z338">
            <v>1092350</v>
          </cell>
          <cell r="AA338">
            <v>79900</v>
          </cell>
        </row>
        <row r="339">
          <cell r="S339">
            <v>45992</v>
          </cell>
          <cell r="W339">
            <v>712570</v>
          </cell>
          <cell r="Z339">
            <v>1374160</v>
          </cell>
          <cell r="AA339">
            <v>50000</v>
          </cell>
        </row>
        <row r="340">
          <cell r="N340">
            <v>2404891</v>
          </cell>
          <cell r="O340">
            <v>134570</v>
          </cell>
          <cell r="S340">
            <v>45993</v>
          </cell>
          <cell r="W340">
            <v>10516510</v>
          </cell>
          <cell r="Z340">
            <v>1802865</v>
          </cell>
          <cell r="AA340">
            <v>103000</v>
          </cell>
        </row>
        <row r="341">
          <cell r="E341">
            <v>2743641</v>
          </cell>
          <cell r="F341">
            <v>1206950</v>
          </cell>
          <cell r="N341">
            <v>2409714</v>
          </cell>
          <cell r="O341">
            <v>494032</v>
          </cell>
          <cell r="S341">
            <v>45994</v>
          </cell>
          <cell r="W341">
            <v>6667410</v>
          </cell>
          <cell r="Z341">
            <v>1513335</v>
          </cell>
          <cell r="AA341">
            <v>147000</v>
          </cell>
        </row>
        <row r="342">
          <cell r="E342">
            <v>4511548</v>
          </cell>
          <cell r="F342">
            <v>1228860</v>
          </cell>
          <cell r="N342">
            <v>4188096</v>
          </cell>
          <cell r="O342">
            <v>185860</v>
          </cell>
          <cell r="S342">
            <v>45995</v>
          </cell>
          <cell r="W342">
            <v>5706330</v>
          </cell>
          <cell r="Z342">
            <v>690735</v>
          </cell>
          <cell r="AA342">
            <v>77550</v>
          </cell>
        </row>
        <row r="343">
          <cell r="E343">
            <v>7986960</v>
          </cell>
          <cell r="F343">
            <v>1026793</v>
          </cell>
          <cell r="N343">
            <v>3280464</v>
          </cell>
          <cell r="O343">
            <v>366470</v>
          </cell>
          <cell r="S343">
            <v>45996</v>
          </cell>
          <cell r="W343">
            <v>3402860</v>
          </cell>
          <cell r="Z343">
            <v>1440184</v>
          </cell>
          <cell r="AA343">
            <v>87500</v>
          </cell>
        </row>
        <row r="344">
          <cell r="E344">
            <v>6268664</v>
          </cell>
          <cell r="F344">
            <v>723920</v>
          </cell>
          <cell r="N344">
            <v>5535935</v>
          </cell>
          <cell r="O344">
            <v>181600</v>
          </cell>
          <cell r="S344">
            <v>45997</v>
          </cell>
          <cell r="W344">
            <v>2297130</v>
          </cell>
          <cell r="Z344">
            <v>812110</v>
          </cell>
          <cell r="AA344">
            <v>149760</v>
          </cell>
        </row>
        <row r="345">
          <cell r="E345">
            <v>10464133</v>
          </cell>
          <cell r="F345">
            <v>878230</v>
          </cell>
          <cell r="N345">
            <v>2722336</v>
          </cell>
          <cell r="O345">
            <v>333920</v>
          </cell>
          <cell r="S345">
            <v>45998</v>
          </cell>
          <cell r="W345">
            <v>1332642</v>
          </cell>
          <cell r="Z345">
            <v>2461030</v>
          </cell>
          <cell r="AA345">
            <v>42500</v>
          </cell>
        </row>
        <row r="346">
          <cell r="E346">
            <v>13131859</v>
          </cell>
          <cell r="F346">
            <v>546420</v>
          </cell>
          <cell r="N346">
            <v>1676259</v>
          </cell>
          <cell r="O346">
            <v>112180</v>
          </cell>
          <cell r="S346">
            <v>45999</v>
          </cell>
          <cell r="W346">
            <v>14833850</v>
          </cell>
          <cell r="Z346">
            <v>440750</v>
          </cell>
          <cell r="AA346">
            <v>112500</v>
          </cell>
        </row>
        <row r="347">
          <cell r="E347">
            <v>1024600</v>
          </cell>
          <cell r="F347">
            <v>671720</v>
          </cell>
          <cell r="N347">
            <v>1241077</v>
          </cell>
          <cell r="O347">
            <v>455860</v>
          </cell>
          <cell r="S347">
            <v>46000</v>
          </cell>
          <cell r="W347">
            <v>15842730</v>
          </cell>
          <cell r="Z347">
            <v>588180</v>
          </cell>
          <cell r="AA347">
            <v>190780</v>
          </cell>
        </row>
        <row r="348">
          <cell r="E348">
            <v>1300228</v>
          </cell>
          <cell r="F348">
            <v>864130</v>
          </cell>
          <cell r="N348">
            <v>14847920</v>
          </cell>
          <cell r="O348">
            <v>224530</v>
          </cell>
          <cell r="S348">
            <v>46001</v>
          </cell>
          <cell r="W348">
            <v>16458160</v>
          </cell>
          <cell r="Z348">
            <v>530970</v>
          </cell>
          <cell r="AA348">
            <v>112500</v>
          </cell>
        </row>
        <row r="349">
          <cell r="E349">
            <v>14125651</v>
          </cell>
          <cell r="F349">
            <v>753480</v>
          </cell>
          <cell r="N349">
            <v>18015927</v>
          </cell>
          <cell r="O349">
            <v>399150</v>
          </cell>
          <cell r="S349">
            <v>46002</v>
          </cell>
          <cell r="W349">
            <v>15907450</v>
          </cell>
          <cell r="Z349">
            <v>1168835</v>
          </cell>
          <cell r="AA349">
            <v>153030</v>
          </cell>
        </row>
        <row r="350">
          <cell r="E350">
            <v>15374037</v>
          </cell>
          <cell r="F350">
            <v>756140</v>
          </cell>
          <cell r="N350">
            <v>17012875</v>
          </cell>
          <cell r="O350">
            <v>650400</v>
          </cell>
          <cell r="S350">
            <v>46003</v>
          </cell>
          <cell r="W350">
            <v>17139640</v>
          </cell>
          <cell r="Z350">
            <v>489620</v>
          </cell>
          <cell r="AA350">
            <v>25000</v>
          </cell>
        </row>
        <row r="351">
          <cell r="E351">
            <v>15554568</v>
          </cell>
          <cell r="F351">
            <v>780640</v>
          </cell>
          <cell r="N351">
            <v>17470185</v>
          </cell>
          <cell r="O351">
            <v>590840</v>
          </cell>
          <cell r="S351">
            <v>46004</v>
          </cell>
          <cell r="W351">
            <v>151140</v>
          </cell>
          <cell r="Z351">
            <v>275280</v>
          </cell>
          <cell r="AA351">
            <v>28350</v>
          </cell>
        </row>
        <row r="352">
          <cell r="E352">
            <v>17099584</v>
          </cell>
          <cell r="F352">
            <v>187000</v>
          </cell>
          <cell r="N352">
            <v>15691277</v>
          </cell>
          <cell r="O352">
            <v>780730</v>
          </cell>
          <cell r="S352">
            <v>46005</v>
          </cell>
          <cell r="W352">
            <v>209470</v>
          </cell>
          <cell r="Z352">
            <v>639065</v>
          </cell>
          <cell r="AA352">
            <v>41000</v>
          </cell>
        </row>
        <row r="353">
          <cell r="E353">
            <v>18634591</v>
          </cell>
          <cell r="F353">
            <v>328160</v>
          </cell>
          <cell r="N353">
            <v>2411518</v>
          </cell>
          <cell r="O353">
            <v>265890</v>
          </cell>
          <cell r="S353">
            <v>46006</v>
          </cell>
          <cell r="W353">
            <v>15387600</v>
          </cell>
          <cell r="Z353">
            <v>3462615</v>
          </cell>
          <cell r="AA353">
            <v>287060</v>
          </cell>
        </row>
        <row r="354">
          <cell r="E354">
            <v>1433764</v>
          </cell>
          <cell r="F354">
            <v>371680</v>
          </cell>
          <cell r="N354">
            <v>2016879</v>
          </cell>
          <cell r="O354">
            <v>223630</v>
          </cell>
          <cell r="S354">
            <v>46007</v>
          </cell>
          <cell r="W354">
            <v>19295220</v>
          </cell>
          <cell r="Z354">
            <v>3102675</v>
          </cell>
          <cell r="AA354">
            <v>135560</v>
          </cell>
        </row>
        <row r="355">
          <cell r="E355">
            <v>1188676</v>
          </cell>
          <cell r="F355">
            <v>635470</v>
          </cell>
          <cell r="N355">
            <v>18937116</v>
          </cell>
          <cell r="O355">
            <v>3285540</v>
          </cell>
          <cell r="S355">
            <v>46008</v>
          </cell>
          <cell r="W355">
            <v>19999150</v>
          </cell>
          <cell r="Z355">
            <v>2659920</v>
          </cell>
          <cell r="AA355">
            <v>97560</v>
          </cell>
        </row>
        <row r="356">
          <cell r="E356">
            <v>14138227</v>
          </cell>
          <cell r="F356">
            <v>1368320</v>
          </cell>
          <cell r="N356">
            <v>18524158</v>
          </cell>
          <cell r="O356">
            <v>1308980</v>
          </cell>
          <cell r="S356">
            <v>46009</v>
          </cell>
          <cell r="W356">
            <v>18114280</v>
          </cell>
          <cell r="Z356">
            <v>1402645</v>
          </cell>
          <cell r="AA356">
            <v>119520</v>
          </cell>
        </row>
        <row r="357">
          <cell r="E357">
            <v>14284300</v>
          </cell>
          <cell r="F357">
            <v>816700</v>
          </cell>
          <cell r="N357">
            <v>16453321</v>
          </cell>
          <cell r="O357">
            <v>1500650</v>
          </cell>
          <cell r="S357">
            <v>46010</v>
          </cell>
          <cell r="W357">
            <v>19098070</v>
          </cell>
          <cell r="Z357">
            <v>788785</v>
          </cell>
          <cell r="AA357">
            <v>25000</v>
          </cell>
        </row>
        <row r="358">
          <cell r="E358">
            <v>16314958</v>
          </cell>
          <cell r="F358">
            <v>1341120</v>
          </cell>
          <cell r="N358">
            <v>15111911</v>
          </cell>
          <cell r="O358">
            <v>885480</v>
          </cell>
          <cell r="S358">
            <v>46011</v>
          </cell>
          <cell r="W358">
            <v>167700</v>
          </cell>
          <cell r="Z358">
            <v>294810</v>
          </cell>
          <cell r="AA358">
            <v>90550</v>
          </cell>
        </row>
        <row r="359">
          <cell r="E359">
            <v>17260796</v>
          </cell>
          <cell r="F359">
            <v>1126640</v>
          </cell>
          <cell r="N359">
            <v>16146050</v>
          </cell>
          <cell r="O359">
            <v>777910</v>
          </cell>
          <cell r="S359">
            <v>46012</v>
          </cell>
          <cell r="W359">
            <v>136550</v>
          </cell>
          <cell r="Z359">
            <v>797455</v>
          </cell>
          <cell r="AA359">
            <v>25000</v>
          </cell>
        </row>
        <row r="360">
          <cell r="E360">
            <v>11284282</v>
          </cell>
          <cell r="F360">
            <v>941810</v>
          </cell>
          <cell r="N360">
            <v>1554388</v>
          </cell>
          <cell r="O360">
            <v>430540</v>
          </cell>
          <cell r="S360">
            <v>46013</v>
          </cell>
          <cell r="W360">
            <v>16793630</v>
          </cell>
          <cell r="Z360">
            <v>1415265</v>
          </cell>
          <cell r="AA360">
            <v>63500</v>
          </cell>
        </row>
        <row r="361">
          <cell r="E361">
            <v>3776936</v>
          </cell>
          <cell r="F361">
            <v>335780</v>
          </cell>
          <cell r="N361">
            <v>1825041</v>
          </cell>
          <cell r="O361">
            <v>734050</v>
          </cell>
          <cell r="S361">
            <v>46014</v>
          </cell>
          <cell r="W361">
            <v>16646960</v>
          </cell>
          <cell r="Z361">
            <v>1779335</v>
          </cell>
          <cell r="AA361">
            <v>215820</v>
          </cell>
        </row>
        <row r="362">
          <cell r="E362">
            <v>1723745</v>
          </cell>
          <cell r="F362">
            <v>184400</v>
          </cell>
          <cell r="N362">
            <v>16484372</v>
          </cell>
          <cell r="O362">
            <v>1272560</v>
          </cell>
          <cell r="S362">
            <v>46015</v>
          </cell>
          <cell r="W362">
            <v>17305460</v>
          </cell>
          <cell r="Z362">
            <v>925825</v>
          </cell>
          <cell r="AA362">
            <v>191000</v>
          </cell>
        </row>
        <row r="363">
          <cell r="E363">
            <v>3416006</v>
          </cell>
          <cell r="F363">
            <v>747030</v>
          </cell>
          <cell r="N363">
            <v>16375147</v>
          </cell>
          <cell r="O363">
            <v>869020</v>
          </cell>
          <cell r="S363">
            <v>46016</v>
          </cell>
          <cell r="W363">
            <v>724200</v>
          </cell>
          <cell r="Z363">
            <v>924785</v>
          </cell>
          <cell r="AA363">
            <v>125000</v>
          </cell>
        </row>
        <row r="364">
          <cell r="E364">
            <v>12042738</v>
          </cell>
          <cell r="F364">
            <v>963810</v>
          </cell>
          <cell r="N364">
            <v>1624950</v>
          </cell>
          <cell r="O364">
            <v>989990</v>
          </cell>
          <cell r="S364">
            <v>46017</v>
          </cell>
          <cell r="W364">
            <v>15816870</v>
          </cell>
          <cell r="Z364">
            <v>1199080</v>
          </cell>
          <cell r="AA364">
            <v>60170</v>
          </cell>
        </row>
        <row r="365">
          <cell r="E365">
            <v>16947670</v>
          </cell>
          <cell r="F365">
            <v>644519</v>
          </cell>
          <cell r="N365">
            <v>18666099</v>
          </cell>
          <cell r="O365">
            <v>869760</v>
          </cell>
          <cell r="S365">
            <v>46018</v>
          </cell>
          <cell r="W365">
            <v>255850</v>
          </cell>
          <cell r="Z365">
            <v>1189065</v>
          </cell>
          <cell r="AA365">
            <v>75000</v>
          </cell>
        </row>
        <row r="366">
          <cell r="E366">
            <v>15737702</v>
          </cell>
          <cell r="F366">
            <v>1080446</v>
          </cell>
          <cell r="N366">
            <v>16891952</v>
          </cell>
          <cell r="O366">
            <v>1680780</v>
          </cell>
          <cell r="S366">
            <v>46019</v>
          </cell>
          <cell r="W366">
            <v>0</v>
          </cell>
          <cell r="Z366">
            <v>1599020</v>
          </cell>
          <cell r="AA366">
            <v>132000</v>
          </cell>
        </row>
        <row r="367">
          <cell r="E367">
            <v>18557864</v>
          </cell>
          <cell r="F367">
            <v>441010</v>
          </cell>
          <cell r="N367">
            <v>2109048</v>
          </cell>
          <cell r="O367">
            <v>443000</v>
          </cell>
          <cell r="S367">
            <v>46020</v>
          </cell>
          <cell r="W367">
            <v>15581670</v>
          </cell>
          <cell r="Z367">
            <v>723065</v>
          </cell>
          <cell r="AA367">
            <v>90310</v>
          </cell>
        </row>
        <row r="368">
          <cell r="E368">
            <v>2753140</v>
          </cell>
          <cell r="F368">
            <v>412120</v>
          </cell>
          <cell r="N368">
            <v>2185720</v>
          </cell>
          <cell r="O368">
            <v>297370</v>
          </cell>
          <cell r="S368">
            <v>46021</v>
          </cell>
          <cell r="W368">
            <v>14833150</v>
          </cell>
          <cell r="Z368">
            <v>992730</v>
          </cell>
          <cell r="AA368">
            <v>128260</v>
          </cell>
        </row>
        <row r="369">
          <cell r="E369">
            <v>3720533</v>
          </cell>
          <cell r="F369">
            <v>664290</v>
          </cell>
          <cell r="N369">
            <v>6623647</v>
          </cell>
          <cell r="O369">
            <v>260520</v>
          </cell>
          <cell r="S369">
            <v>46022</v>
          </cell>
          <cell r="W369">
            <v>12617900</v>
          </cell>
          <cell r="Z369">
            <v>530210</v>
          </cell>
          <cell r="AA369">
            <v>25000</v>
          </cell>
        </row>
        <row r="370">
          <cell r="F370">
            <v>1378680</v>
          </cell>
          <cell r="N370">
            <v>8658628</v>
          </cell>
          <cell r="O370">
            <v>305810</v>
          </cell>
          <cell r="S370">
            <v>46023</v>
          </cell>
          <cell r="W370">
            <v>205350</v>
          </cell>
          <cell r="Z370">
            <v>828150</v>
          </cell>
          <cell r="AA370">
            <v>186580</v>
          </cell>
        </row>
      </sheetData>
      <sheetData sheetId="2"/>
      <sheetData sheetId="3"/>
      <sheetData sheetId="4">
        <row r="338">
          <cell r="D338">
            <v>15704810</v>
          </cell>
          <cell r="K338">
            <v>13705362</v>
          </cell>
          <cell r="O338">
            <v>44896</v>
          </cell>
          <cell r="U338">
            <v>6014211</v>
          </cell>
        </row>
        <row r="339">
          <cell r="D339">
            <v>6319296</v>
          </cell>
          <cell r="K339">
            <v>24452584</v>
          </cell>
          <cell r="O339">
            <v>44897</v>
          </cell>
          <cell r="U339">
            <v>3712655</v>
          </cell>
        </row>
        <row r="340">
          <cell r="D340">
            <v>4999370</v>
          </cell>
          <cell r="K340">
            <v>2574375</v>
          </cell>
          <cell r="O340">
            <v>44898</v>
          </cell>
          <cell r="U340">
            <v>1360907</v>
          </cell>
        </row>
        <row r="341">
          <cell r="D341">
            <v>5910169</v>
          </cell>
          <cell r="K341">
            <v>3138716</v>
          </cell>
          <cell r="O341">
            <v>44899</v>
          </cell>
          <cell r="U341">
            <v>2386369</v>
          </cell>
        </row>
        <row r="342">
          <cell r="D342">
            <v>12088726</v>
          </cell>
          <cell r="K342">
            <v>11917965</v>
          </cell>
          <cell r="O342">
            <v>44900</v>
          </cell>
          <cell r="U342">
            <v>6431208</v>
          </cell>
        </row>
        <row r="343">
          <cell r="D343">
            <v>17106904</v>
          </cell>
          <cell r="K343">
            <v>17311518</v>
          </cell>
          <cell r="O343">
            <v>44901</v>
          </cell>
          <cell r="U343">
            <v>7107520</v>
          </cell>
        </row>
        <row r="344">
          <cell r="D344">
            <v>17751936</v>
          </cell>
          <cell r="K344">
            <v>16492223</v>
          </cell>
          <cell r="O344">
            <v>44902</v>
          </cell>
          <cell r="U344">
            <v>7718057</v>
          </cell>
        </row>
        <row r="345">
          <cell r="D345">
            <v>19828781</v>
          </cell>
          <cell r="K345">
            <v>18768492</v>
          </cell>
          <cell r="O345">
            <v>44903</v>
          </cell>
          <cell r="U345">
            <v>8545257</v>
          </cell>
        </row>
        <row r="346">
          <cell r="D346">
            <v>13362089</v>
          </cell>
          <cell r="K346">
            <v>15332797</v>
          </cell>
          <cell r="O346">
            <v>44904</v>
          </cell>
          <cell r="U346">
            <v>10471995</v>
          </cell>
        </row>
        <row r="347">
          <cell r="D347">
            <v>5243760</v>
          </cell>
          <cell r="K347">
            <v>1374814</v>
          </cell>
          <cell r="O347">
            <v>44905</v>
          </cell>
          <cell r="U347">
            <v>1544883</v>
          </cell>
        </row>
        <row r="348">
          <cell r="D348">
            <v>6209160</v>
          </cell>
          <cell r="K348">
            <v>2329239</v>
          </cell>
          <cell r="O348">
            <v>44906</v>
          </cell>
          <cell r="U348">
            <v>1379227</v>
          </cell>
        </row>
        <row r="349">
          <cell r="D349">
            <v>12090048</v>
          </cell>
          <cell r="K349">
            <v>16353213</v>
          </cell>
          <cell r="O349">
            <v>44907</v>
          </cell>
          <cell r="U349">
            <v>12940507</v>
          </cell>
        </row>
        <row r="350">
          <cell r="D350">
            <v>17626579</v>
          </cell>
          <cell r="K350">
            <v>17397070</v>
          </cell>
          <cell r="O350">
            <v>44908</v>
          </cell>
          <cell r="U350">
            <v>12538546</v>
          </cell>
        </row>
        <row r="351">
          <cell r="D351">
            <v>17224980</v>
          </cell>
          <cell r="K351">
            <v>16407691</v>
          </cell>
          <cell r="O351">
            <v>44909</v>
          </cell>
          <cell r="U351">
            <v>12990243</v>
          </cell>
        </row>
        <row r="352">
          <cell r="D352">
            <v>15119038</v>
          </cell>
          <cell r="K352">
            <v>17603218</v>
          </cell>
          <cell r="O352">
            <v>44910</v>
          </cell>
          <cell r="U352">
            <v>13619120</v>
          </cell>
        </row>
        <row r="353">
          <cell r="D353">
            <v>12429068</v>
          </cell>
          <cell r="K353">
            <v>16839963</v>
          </cell>
          <cell r="O353">
            <v>44911</v>
          </cell>
          <cell r="U353">
            <v>15580872</v>
          </cell>
        </row>
        <row r="354">
          <cell r="D354">
            <v>2139361</v>
          </cell>
          <cell r="K354">
            <v>997406</v>
          </cell>
          <cell r="O354">
            <v>44912</v>
          </cell>
          <cell r="U354">
            <v>748478</v>
          </cell>
        </row>
        <row r="355">
          <cell r="D355">
            <v>2125553</v>
          </cell>
          <cell r="K355">
            <v>240442</v>
          </cell>
          <cell r="O355">
            <v>44913</v>
          </cell>
          <cell r="U355">
            <v>1649174</v>
          </cell>
        </row>
        <row r="356">
          <cell r="D356">
            <v>14630403</v>
          </cell>
          <cell r="K356">
            <v>17565201</v>
          </cell>
          <cell r="O356">
            <v>44914</v>
          </cell>
          <cell r="U356">
            <v>15639956</v>
          </cell>
        </row>
        <row r="357">
          <cell r="D357">
            <v>18312836</v>
          </cell>
          <cell r="K357">
            <v>17765873</v>
          </cell>
          <cell r="O357">
            <v>44915</v>
          </cell>
          <cell r="U357">
            <v>17201871</v>
          </cell>
        </row>
        <row r="358">
          <cell r="D358">
            <v>14572701</v>
          </cell>
          <cell r="K358">
            <v>18049080</v>
          </cell>
          <cell r="O358">
            <v>44916</v>
          </cell>
          <cell r="U358">
            <v>16641431</v>
          </cell>
        </row>
        <row r="359">
          <cell r="D359">
            <v>13821192</v>
          </cell>
          <cell r="K359">
            <v>15177793</v>
          </cell>
          <cell r="O359">
            <v>44917</v>
          </cell>
          <cell r="U359">
            <v>12228736</v>
          </cell>
        </row>
        <row r="360">
          <cell r="D360">
            <v>1396263</v>
          </cell>
          <cell r="K360">
            <v>1393583</v>
          </cell>
          <cell r="O360">
            <v>44918</v>
          </cell>
          <cell r="U360">
            <v>15684828</v>
          </cell>
        </row>
        <row r="361">
          <cell r="D361">
            <v>2319491</v>
          </cell>
          <cell r="K361">
            <v>147522</v>
          </cell>
          <cell r="O361">
            <v>44919</v>
          </cell>
          <cell r="U361">
            <v>691733</v>
          </cell>
        </row>
        <row r="362">
          <cell r="D362">
            <v>2757129</v>
          </cell>
          <cell r="K362">
            <v>2669499</v>
          </cell>
          <cell r="O362">
            <v>44920</v>
          </cell>
          <cell r="U362">
            <v>1418070</v>
          </cell>
        </row>
        <row r="363">
          <cell r="D363">
            <v>15744125</v>
          </cell>
          <cell r="K363">
            <v>15971852</v>
          </cell>
          <cell r="O363">
            <v>44921</v>
          </cell>
          <cell r="U363">
            <v>17421292</v>
          </cell>
        </row>
        <row r="364">
          <cell r="D364">
            <v>18882847</v>
          </cell>
          <cell r="K364">
            <v>18100810</v>
          </cell>
          <cell r="O364">
            <v>44922</v>
          </cell>
          <cell r="U364">
            <v>15193534</v>
          </cell>
        </row>
        <row r="365">
          <cell r="D365">
            <v>7557682</v>
          </cell>
          <cell r="K365">
            <v>18508939</v>
          </cell>
          <cell r="O365">
            <v>44923</v>
          </cell>
          <cell r="U365">
            <v>16882398</v>
          </cell>
        </row>
        <row r="366">
          <cell r="D366">
            <v>13571903</v>
          </cell>
          <cell r="K366">
            <v>7318924</v>
          </cell>
          <cell r="O366">
            <v>44924</v>
          </cell>
          <cell r="U366">
            <v>12436165</v>
          </cell>
        </row>
        <row r="367">
          <cell r="K367">
            <v>3203056</v>
          </cell>
          <cell r="O367">
            <v>44925</v>
          </cell>
          <cell r="U367">
            <v>1080700</v>
          </cell>
        </row>
        <row r="368">
          <cell r="O368">
            <v>44926</v>
          </cell>
          <cell r="U368">
            <v>918526</v>
          </cell>
        </row>
        <row r="369">
          <cell r="O369">
            <v>44927</v>
          </cell>
          <cell r="U369">
            <v>2170613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F9DB-CB1B-4FDD-BF4C-201B736F9C5F}">
  <dimension ref="A1:BG371"/>
  <sheetViews>
    <sheetView tabSelected="1" topLeftCell="AS1" workbookViewId="0">
      <selection activeCell="BG7" sqref="BG7"/>
    </sheetView>
  </sheetViews>
  <sheetFormatPr defaultRowHeight="16.5"/>
  <cols>
    <col min="2" max="2" width="17.5" style="8" bestFit="1" customWidth="1"/>
    <col min="3" max="3" width="16.625" style="8" bestFit="1" customWidth="1"/>
    <col min="4" max="4" width="13.875" bestFit="1" customWidth="1"/>
    <col min="6" max="6" width="17.375" customWidth="1"/>
    <col min="7" max="7" width="17.5" style="5" bestFit="1" customWidth="1"/>
    <col min="8" max="8" width="16.625" style="5" bestFit="1" customWidth="1"/>
    <col min="9" max="10" width="16.125" style="8" customWidth="1"/>
    <col min="11" max="11" width="13.5" bestFit="1" customWidth="1"/>
    <col min="13" max="13" width="10.75" customWidth="1"/>
    <col min="14" max="14" width="14.625" style="5" bestFit="1" customWidth="1"/>
    <col min="15" max="15" width="16.125" style="5" bestFit="1" customWidth="1"/>
    <col min="16" max="16" width="18.75" style="5" bestFit="1" customWidth="1"/>
    <col min="17" max="19" width="18.75" style="5" customWidth="1"/>
    <col min="21" max="21" width="8.875" bestFit="1" customWidth="1"/>
    <col min="22" max="22" width="17.625" bestFit="1" customWidth="1"/>
    <col min="23" max="23" width="16.625" bestFit="1" customWidth="1"/>
    <col min="24" max="24" width="34.75" customWidth="1"/>
    <col min="25" max="25" width="13.5" bestFit="1" customWidth="1"/>
    <col min="26" max="26" width="13.5" customWidth="1"/>
    <col min="27" max="27" width="15.375" bestFit="1" customWidth="1"/>
    <col min="28" max="28" width="13.625" bestFit="1" customWidth="1"/>
    <col min="30" max="30" width="8.875" bestFit="1" customWidth="1"/>
    <col min="31" max="31" width="17.625" bestFit="1" customWidth="1"/>
    <col min="32" max="32" width="20.375" customWidth="1"/>
    <col min="33" max="33" width="34.625" customWidth="1"/>
    <col min="34" max="34" width="13.5" bestFit="1" customWidth="1"/>
    <col min="35" max="35" width="13.5" customWidth="1"/>
    <col min="36" max="36" width="15.375" bestFit="1" customWidth="1"/>
    <col min="37" max="37" width="13.625" bestFit="1" customWidth="1"/>
    <col min="39" max="39" width="8.875" bestFit="1" customWidth="1"/>
    <col min="40" max="40" width="17.625" style="8" bestFit="1" customWidth="1"/>
    <col min="41" max="41" width="20.375" style="8" customWidth="1"/>
    <col min="42" max="42" width="34.625" style="8" customWidth="1"/>
    <col min="43" max="43" width="14.625" style="8" bestFit="1" customWidth="1"/>
    <col min="44" max="44" width="13.5" style="8" customWidth="1"/>
    <col min="45" max="45" width="14.625" style="8" customWidth="1"/>
    <col min="46" max="47" width="13.5" style="8" customWidth="1"/>
    <col min="48" max="48" width="13.625" style="8" bestFit="1" customWidth="1"/>
    <col min="50" max="50" width="8.875" bestFit="1" customWidth="1"/>
    <col min="51" max="51" width="17.625" style="8" bestFit="1" customWidth="1"/>
    <col min="52" max="52" width="20.375" style="8" customWidth="1"/>
    <col min="53" max="53" width="34.625" style="8" customWidth="1"/>
    <col min="54" max="54" width="14.625" style="8" bestFit="1" customWidth="1"/>
    <col min="55" max="55" width="13.5" style="8" customWidth="1"/>
    <col min="56" max="56" width="14.625" style="8" customWidth="1"/>
    <col min="57" max="58" width="13.5" style="8" customWidth="1"/>
    <col min="59" max="59" width="15.25" style="8" bestFit="1" customWidth="1"/>
  </cols>
  <sheetData>
    <row r="1" spans="1:59">
      <c r="A1" s="1" t="s">
        <v>0</v>
      </c>
      <c r="B1" s="1"/>
      <c r="C1" s="1"/>
      <c r="D1" s="2"/>
      <c r="F1" s="15" t="s">
        <v>3</v>
      </c>
      <c r="G1" s="15"/>
      <c r="H1" s="15"/>
      <c r="I1" s="15"/>
      <c r="J1" s="15"/>
      <c r="K1" s="15"/>
      <c r="M1" s="19" t="s">
        <v>5</v>
      </c>
      <c r="N1" s="19"/>
      <c r="O1" s="19"/>
      <c r="P1" s="19"/>
      <c r="Q1" s="19"/>
      <c r="R1" s="19"/>
      <c r="S1" s="19"/>
      <c r="U1" s="25" t="s">
        <v>6</v>
      </c>
      <c r="V1" s="25"/>
      <c r="W1" s="25"/>
      <c r="X1" s="25"/>
      <c r="Y1" s="25"/>
      <c r="Z1" s="25"/>
      <c r="AA1" s="25"/>
      <c r="AB1" s="25"/>
      <c r="AD1" s="25" t="s">
        <v>8</v>
      </c>
      <c r="AE1" s="25"/>
      <c r="AF1" s="25"/>
      <c r="AG1" s="25"/>
      <c r="AH1" s="25"/>
      <c r="AI1" s="25"/>
      <c r="AJ1" s="25"/>
      <c r="AK1" s="25"/>
      <c r="AM1" s="25" t="s">
        <v>9</v>
      </c>
      <c r="AN1" s="25"/>
      <c r="AO1" s="25"/>
      <c r="AP1" s="25"/>
      <c r="AQ1" s="25"/>
      <c r="AR1" s="25"/>
      <c r="AS1" s="25"/>
      <c r="AT1" s="25"/>
      <c r="AU1" s="25"/>
      <c r="AV1" s="25"/>
      <c r="AX1" s="25" t="s">
        <v>12</v>
      </c>
      <c r="AY1" s="25"/>
      <c r="AZ1" s="25"/>
      <c r="BA1" s="25"/>
      <c r="BB1" s="25"/>
      <c r="BC1" s="25"/>
      <c r="BD1" s="25"/>
      <c r="BE1" s="25"/>
      <c r="BF1" s="25"/>
      <c r="BG1" s="25"/>
    </row>
    <row r="2" spans="1:59">
      <c r="A2" s="3" t="s">
        <v>1</v>
      </c>
      <c r="B2" s="3"/>
      <c r="C2" s="3"/>
      <c r="D2" s="4" t="s">
        <v>15</v>
      </c>
      <c r="G2" s="16" t="s">
        <v>4</v>
      </c>
      <c r="H2" s="16"/>
      <c r="I2" s="16"/>
      <c r="J2" s="16"/>
      <c r="K2" s="16"/>
      <c r="N2" s="16" t="s">
        <v>4</v>
      </c>
      <c r="O2" s="16"/>
      <c r="P2" s="16"/>
      <c r="Q2" s="16"/>
      <c r="R2" s="4" t="s">
        <v>17</v>
      </c>
      <c r="S2" s="4" t="s">
        <v>19</v>
      </c>
      <c r="V2" s="16" t="s">
        <v>4</v>
      </c>
      <c r="W2" s="16"/>
      <c r="X2" s="16"/>
      <c r="Y2" s="16"/>
      <c r="Z2" s="4" t="s">
        <v>10</v>
      </c>
      <c r="AA2" s="4" t="s">
        <v>17</v>
      </c>
      <c r="AB2" s="4" t="s">
        <v>19</v>
      </c>
      <c r="AE2" s="16" t="s">
        <v>4</v>
      </c>
      <c r="AF2" s="16"/>
      <c r="AG2" s="16"/>
      <c r="AH2" s="16"/>
      <c r="AI2" s="4" t="s">
        <v>10</v>
      </c>
      <c r="AJ2" s="4" t="s">
        <v>17</v>
      </c>
      <c r="AK2" s="4" t="s">
        <v>19</v>
      </c>
      <c r="AN2" s="19" t="s">
        <v>4</v>
      </c>
      <c r="AO2" s="19"/>
      <c r="AP2" s="19"/>
      <c r="AQ2" s="19"/>
      <c r="AR2" s="30" t="s">
        <v>10</v>
      </c>
      <c r="AS2" s="30"/>
      <c r="AT2" s="30"/>
      <c r="AU2" s="31" t="s">
        <v>25</v>
      </c>
      <c r="AV2" s="4" t="s">
        <v>19</v>
      </c>
      <c r="AY2" s="19" t="s">
        <v>4</v>
      </c>
      <c r="AZ2" s="19"/>
      <c r="BA2" s="19"/>
      <c r="BB2" s="19"/>
      <c r="BC2" s="30" t="s">
        <v>10</v>
      </c>
      <c r="BD2" s="30"/>
      <c r="BE2" s="30"/>
      <c r="BF2" s="31" t="s">
        <v>25</v>
      </c>
      <c r="BG2" s="4" t="s">
        <v>19</v>
      </c>
    </row>
    <row r="3" spans="1:59">
      <c r="A3" t="s">
        <v>2</v>
      </c>
      <c r="B3" s="5" t="s">
        <v>13</v>
      </c>
      <c r="C3" s="5" t="s">
        <v>14</v>
      </c>
      <c r="D3" s="4"/>
      <c r="F3" s="5" t="s">
        <v>2</v>
      </c>
      <c r="G3" s="5" t="s">
        <v>13</v>
      </c>
      <c r="H3" s="5" t="s">
        <v>14</v>
      </c>
      <c r="I3" s="5" t="s">
        <v>16</v>
      </c>
      <c r="J3" s="5" t="s">
        <v>17</v>
      </c>
      <c r="K3" s="5" t="s">
        <v>18</v>
      </c>
      <c r="M3" t="s">
        <v>2</v>
      </c>
      <c r="N3" s="5" t="s">
        <v>13</v>
      </c>
      <c r="O3" s="5" t="s">
        <v>14</v>
      </c>
      <c r="P3" s="5" t="s">
        <v>16</v>
      </c>
      <c r="Q3" s="5" t="s">
        <v>18</v>
      </c>
      <c r="R3" s="4"/>
      <c r="S3" s="4"/>
      <c r="U3" t="s">
        <v>2</v>
      </c>
      <c r="V3" s="5" t="s">
        <v>13</v>
      </c>
      <c r="W3" s="5" t="s">
        <v>14</v>
      </c>
      <c r="X3" s="5" t="s">
        <v>16</v>
      </c>
      <c r="Y3" s="5" t="s">
        <v>7</v>
      </c>
      <c r="Z3" s="4"/>
      <c r="AA3" s="4"/>
      <c r="AB3" s="4"/>
      <c r="AD3" t="s">
        <v>2</v>
      </c>
      <c r="AE3" s="5" t="s">
        <v>13</v>
      </c>
      <c r="AF3" s="29" t="s">
        <v>20</v>
      </c>
      <c r="AG3" s="5" t="s">
        <v>16</v>
      </c>
      <c r="AH3" s="5" t="s">
        <v>18</v>
      </c>
      <c r="AI3" s="4"/>
      <c r="AJ3" s="4"/>
      <c r="AK3" s="4"/>
      <c r="AM3" t="s">
        <v>2</v>
      </c>
      <c r="AN3" s="32" t="s">
        <v>11</v>
      </c>
      <c r="AO3" s="33" t="s">
        <v>20</v>
      </c>
      <c r="AP3" s="32" t="s">
        <v>16</v>
      </c>
      <c r="AQ3" s="32" t="s">
        <v>21</v>
      </c>
      <c r="AR3" s="34" t="s">
        <v>22</v>
      </c>
      <c r="AS3" s="35" t="s">
        <v>23</v>
      </c>
      <c r="AT3" s="34" t="s">
        <v>24</v>
      </c>
      <c r="AU3" s="36"/>
      <c r="AV3" s="4"/>
      <c r="AX3" t="s">
        <v>2</v>
      </c>
      <c r="AY3" s="32" t="s">
        <v>11</v>
      </c>
      <c r="AZ3" s="33" t="s">
        <v>20</v>
      </c>
      <c r="BA3" s="32" t="s">
        <v>16</v>
      </c>
      <c r="BB3" s="32" t="s">
        <v>21</v>
      </c>
      <c r="BC3" s="34" t="s">
        <v>22</v>
      </c>
      <c r="BD3" s="35" t="s">
        <v>23</v>
      </c>
      <c r="BE3" s="34" t="s">
        <v>24</v>
      </c>
      <c r="BF3" s="36"/>
      <c r="BG3" s="4"/>
    </row>
    <row r="4" spans="1:59">
      <c r="A4" s="6">
        <v>43834</v>
      </c>
      <c r="B4" s="7">
        <v>1514977</v>
      </c>
      <c r="C4" s="7">
        <v>1110690</v>
      </c>
      <c r="D4" s="7">
        <f t="shared" ref="D4:D67" si="0">SUM(B4:C4)</f>
        <v>2625667</v>
      </c>
      <c r="F4" s="6">
        <v>44198</v>
      </c>
      <c r="G4" s="7">
        <v>1699910</v>
      </c>
      <c r="H4" s="7">
        <v>898630</v>
      </c>
      <c r="K4" s="7">
        <f t="shared" ref="K4:K67" si="1">SUM(G4:I4)</f>
        <v>2598540</v>
      </c>
      <c r="M4" s="6">
        <v>44562</v>
      </c>
      <c r="N4" s="5">
        <v>2597186</v>
      </c>
      <c r="O4" s="5">
        <v>927115</v>
      </c>
      <c r="P4" s="5">
        <v>254470</v>
      </c>
      <c r="Q4" s="5">
        <f t="shared" ref="Q4:Q67" si="2">SUM(N4:P4)</f>
        <v>3778771</v>
      </c>
      <c r="R4" s="5">
        <v>201522</v>
      </c>
      <c r="S4" s="5">
        <f t="shared" ref="S4:S67" si="3">Q4+R4</f>
        <v>3980293</v>
      </c>
      <c r="U4" s="6">
        <v>44926</v>
      </c>
      <c r="V4" s="5">
        <v>403751</v>
      </c>
      <c r="W4" s="5">
        <v>421815</v>
      </c>
      <c r="X4" s="5">
        <v>63160</v>
      </c>
      <c r="Y4" s="5">
        <v>888726</v>
      </c>
      <c r="Z4" s="5"/>
      <c r="AA4" s="5">
        <v>29800</v>
      </c>
      <c r="AB4" s="5">
        <f t="shared" ref="AB4:AB68" si="4">Y4+AA4</f>
        <v>918526</v>
      </c>
      <c r="AD4" s="6">
        <v>45291</v>
      </c>
      <c r="AE4" s="8">
        <v>2828743</v>
      </c>
      <c r="AF4" s="8">
        <v>803960</v>
      </c>
      <c r="AG4" s="8">
        <v>87830</v>
      </c>
      <c r="AH4" s="26">
        <f t="shared" ref="AH4:AH63" si="5">SUM(AE4:AG4)</f>
        <v>3720533</v>
      </c>
      <c r="AI4" s="8">
        <v>664290</v>
      </c>
      <c r="AJ4" s="8">
        <v>36900</v>
      </c>
      <c r="AK4" s="5">
        <f>AH4+AJ4+AI4</f>
        <v>4421723</v>
      </c>
      <c r="AM4" s="6">
        <v>45657</v>
      </c>
      <c r="AN4" s="8">
        <v>6783008</v>
      </c>
      <c r="AO4" s="8">
        <v>1610810</v>
      </c>
      <c r="AP4" s="8">
        <v>264810</v>
      </c>
      <c r="AQ4" s="5">
        <f t="shared" ref="AQ4:AQ54" si="6">SUM(AN4:AP4)</f>
        <v>8658628</v>
      </c>
      <c r="AR4" s="8">
        <v>305810</v>
      </c>
      <c r="AS4" s="5"/>
      <c r="AT4" s="8">
        <f>AR4+AS4</f>
        <v>305810</v>
      </c>
      <c r="AV4" s="5">
        <f>AQ4+AT4</f>
        <v>8964438</v>
      </c>
      <c r="AX4" s="6">
        <v>46023</v>
      </c>
      <c r="AY4" s="8">
        <v>166650</v>
      </c>
      <c r="AZ4" s="8">
        <v>38700</v>
      </c>
      <c r="BA4" s="8">
        <v>0</v>
      </c>
      <c r="BB4" s="5">
        <f t="shared" ref="BB4:BB14" si="7">SUM(AY4:BA4)</f>
        <v>205350</v>
      </c>
      <c r="BC4" s="8">
        <v>654650</v>
      </c>
      <c r="BD4" s="5">
        <v>173500</v>
      </c>
      <c r="BE4" s="8">
        <f t="shared" ref="BE4:BE68" si="8">BC4+BD4</f>
        <v>828150</v>
      </c>
      <c r="BF4" s="8">
        <v>186580</v>
      </c>
      <c r="BG4" s="5">
        <f t="shared" ref="BG4:BG67" si="9">BB4+BE4+BF4</f>
        <v>1220080</v>
      </c>
    </row>
    <row r="5" spans="1:59">
      <c r="A5" s="6">
        <v>43835</v>
      </c>
      <c r="B5" s="7">
        <v>1924108</v>
      </c>
      <c r="C5" s="7">
        <v>1486540</v>
      </c>
      <c r="D5" s="7">
        <f t="shared" si="0"/>
        <v>3410648</v>
      </c>
      <c r="F5" s="6">
        <v>44199</v>
      </c>
      <c r="G5" s="7">
        <v>3264912</v>
      </c>
      <c r="H5" s="7">
        <v>2061730</v>
      </c>
      <c r="K5" s="7">
        <f t="shared" si="1"/>
        <v>5326642</v>
      </c>
      <c r="M5" s="6">
        <v>44563</v>
      </c>
      <c r="N5" s="5">
        <v>1933653</v>
      </c>
      <c r="O5" s="5">
        <v>1445980</v>
      </c>
      <c r="P5" s="5">
        <v>120610</v>
      </c>
      <c r="Q5" s="5">
        <f t="shared" si="2"/>
        <v>3500243</v>
      </c>
      <c r="R5" s="5">
        <v>304922</v>
      </c>
      <c r="S5" s="5">
        <f t="shared" si="3"/>
        <v>3805165</v>
      </c>
      <c r="U5" s="6">
        <v>44927</v>
      </c>
      <c r="V5" s="5">
        <v>862823</v>
      </c>
      <c r="W5" s="5">
        <v>1131200</v>
      </c>
      <c r="X5" s="5">
        <v>117990</v>
      </c>
      <c r="Y5" s="5">
        <f t="shared" ref="Y5:Y68" si="10">SUM(V5:X5)</f>
        <v>2112013</v>
      </c>
      <c r="Z5" s="5"/>
      <c r="AA5" s="5">
        <v>58600</v>
      </c>
      <c r="AB5" s="5">
        <f t="shared" si="4"/>
        <v>2170613</v>
      </c>
      <c r="AD5" s="6">
        <v>45292</v>
      </c>
      <c r="AE5" s="5">
        <v>587532</v>
      </c>
      <c r="AF5" s="5">
        <v>321140</v>
      </c>
      <c r="AG5" s="5">
        <v>233140</v>
      </c>
      <c r="AH5" s="5">
        <f t="shared" si="5"/>
        <v>1141812</v>
      </c>
      <c r="AI5" s="5">
        <v>1378680</v>
      </c>
      <c r="AJ5" s="5">
        <v>0</v>
      </c>
      <c r="AK5" s="5">
        <f>AH5+AJ5+AI5</f>
        <v>2520492</v>
      </c>
      <c r="AM5" s="6">
        <v>45658</v>
      </c>
      <c r="AN5" s="5">
        <v>4952177</v>
      </c>
      <c r="AO5" s="5">
        <v>1475770</v>
      </c>
      <c r="AP5" s="5">
        <v>0</v>
      </c>
      <c r="AQ5" s="5">
        <f t="shared" si="6"/>
        <v>6427947</v>
      </c>
      <c r="AR5" s="5">
        <v>629320</v>
      </c>
      <c r="AS5" s="5"/>
      <c r="AT5" s="8">
        <f t="shared" ref="AT5:AT68" si="11">AR5+AS5</f>
        <v>629320</v>
      </c>
      <c r="AU5" s="5"/>
      <c r="AV5" s="5">
        <f>AQ5+AT5</f>
        <v>7057267</v>
      </c>
      <c r="AX5" s="6">
        <v>46024</v>
      </c>
      <c r="AY5" s="5">
        <v>5951110</v>
      </c>
      <c r="AZ5" s="5">
        <v>1982540</v>
      </c>
      <c r="BA5" s="5">
        <v>438860</v>
      </c>
      <c r="BB5" s="5">
        <f t="shared" si="7"/>
        <v>8372510</v>
      </c>
      <c r="BC5" s="5">
        <v>1362320</v>
      </c>
      <c r="BD5" s="5">
        <v>225480</v>
      </c>
      <c r="BE5" s="8">
        <f t="shared" si="8"/>
        <v>1587800</v>
      </c>
      <c r="BF5" s="5">
        <v>62500</v>
      </c>
      <c r="BG5" s="5">
        <f t="shared" si="9"/>
        <v>10022810</v>
      </c>
    </row>
    <row r="6" spans="1:59">
      <c r="A6" s="6">
        <v>43836</v>
      </c>
      <c r="B6" s="7">
        <v>3077802</v>
      </c>
      <c r="C6" s="7">
        <v>2268620</v>
      </c>
      <c r="D6" s="7">
        <f t="shared" si="0"/>
        <v>5346422</v>
      </c>
      <c r="F6" s="6">
        <v>44200</v>
      </c>
      <c r="G6" s="7">
        <v>5112843</v>
      </c>
      <c r="H6" s="7">
        <v>3299530</v>
      </c>
      <c r="K6" s="7">
        <f t="shared" si="1"/>
        <v>8412373</v>
      </c>
      <c r="M6" s="6">
        <v>44564</v>
      </c>
      <c r="N6" s="5">
        <v>6654400</v>
      </c>
      <c r="O6" s="5">
        <v>2349380</v>
      </c>
      <c r="P6" s="5">
        <v>479090</v>
      </c>
      <c r="Q6" s="5">
        <f t="shared" si="2"/>
        <v>9482870</v>
      </c>
      <c r="R6" s="5">
        <v>672496</v>
      </c>
      <c r="S6" s="5">
        <f t="shared" si="3"/>
        <v>10155366</v>
      </c>
      <c r="U6" s="6">
        <v>44928</v>
      </c>
      <c r="V6" s="8">
        <v>14763145</v>
      </c>
      <c r="W6" s="8">
        <v>1678640</v>
      </c>
      <c r="X6" s="8">
        <v>411360</v>
      </c>
      <c r="Y6" s="5">
        <f t="shared" si="10"/>
        <v>16853145</v>
      </c>
      <c r="Z6" s="5"/>
      <c r="AA6" s="8">
        <v>127730</v>
      </c>
      <c r="AB6" s="5">
        <f t="shared" si="4"/>
        <v>16980875</v>
      </c>
      <c r="AD6" s="6">
        <v>45293</v>
      </c>
      <c r="AE6" s="8">
        <v>1115012</v>
      </c>
      <c r="AF6" s="8">
        <v>707710</v>
      </c>
      <c r="AG6" s="8">
        <v>279110</v>
      </c>
      <c r="AH6" s="5">
        <f t="shared" si="5"/>
        <v>2101832</v>
      </c>
      <c r="AI6" s="5">
        <v>4087740</v>
      </c>
      <c r="AJ6" s="8">
        <v>11500</v>
      </c>
      <c r="AK6" s="5">
        <f t="shared" ref="AK6:AK69" si="12">AH6+AJ6+AI6</f>
        <v>6201072</v>
      </c>
      <c r="AM6" s="6">
        <v>45659</v>
      </c>
      <c r="AN6" s="8">
        <v>4801541</v>
      </c>
      <c r="AO6" s="8">
        <v>1698670</v>
      </c>
      <c r="AP6" s="8">
        <v>0</v>
      </c>
      <c r="AQ6" s="5">
        <f t="shared" si="6"/>
        <v>6500211</v>
      </c>
      <c r="AR6" s="5">
        <v>765550</v>
      </c>
      <c r="AS6" s="5"/>
      <c r="AT6" s="8">
        <f t="shared" si="11"/>
        <v>765550</v>
      </c>
      <c r="AU6" s="5"/>
      <c r="AV6" s="5">
        <f t="shared" ref="AV6:AV70" si="13">AQ6+AT6</f>
        <v>7265761</v>
      </c>
      <c r="AX6" s="6">
        <v>46025</v>
      </c>
      <c r="AY6" s="8">
        <v>2260740</v>
      </c>
      <c r="AZ6" s="8">
        <v>631230</v>
      </c>
      <c r="BA6" s="8">
        <v>397950</v>
      </c>
      <c r="BB6" s="5">
        <f t="shared" si="7"/>
        <v>3289920</v>
      </c>
      <c r="BC6" s="5">
        <v>283130</v>
      </c>
      <c r="BD6" s="5">
        <v>293460</v>
      </c>
      <c r="BE6" s="8">
        <f t="shared" si="8"/>
        <v>576590</v>
      </c>
      <c r="BF6" s="5">
        <v>87500</v>
      </c>
      <c r="BG6" s="5">
        <f t="shared" si="9"/>
        <v>3954010</v>
      </c>
    </row>
    <row r="7" spans="1:59">
      <c r="A7" s="6">
        <v>43837</v>
      </c>
      <c r="B7" s="7">
        <v>7389970</v>
      </c>
      <c r="C7" s="7">
        <v>1987210</v>
      </c>
      <c r="D7" s="7">
        <f t="shared" si="0"/>
        <v>9377180</v>
      </c>
      <c r="F7" s="6">
        <v>44201</v>
      </c>
      <c r="G7" s="7">
        <v>10701723</v>
      </c>
      <c r="H7" s="7">
        <v>4567305</v>
      </c>
      <c r="K7" s="7">
        <f t="shared" si="1"/>
        <v>15269028</v>
      </c>
      <c r="M7" s="6">
        <v>44565</v>
      </c>
      <c r="N7" s="5">
        <v>13814520</v>
      </c>
      <c r="O7" s="5">
        <v>3697990</v>
      </c>
      <c r="P7" s="5">
        <v>422140</v>
      </c>
      <c r="Q7" s="5">
        <f t="shared" si="2"/>
        <v>17934650</v>
      </c>
      <c r="R7" s="5">
        <v>440930</v>
      </c>
      <c r="S7" s="5">
        <f t="shared" si="3"/>
        <v>18375580</v>
      </c>
      <c r="U7" s="6">
        <v>44929</v>
      </c>
      <c r="V7" s="8">
        <v>9943851</v>
      </c>
      <c r="W7" s="8">
        <v>3148810</v>
      </c>
      <c r="X7" s="8">
        <v>256600</v>
      </c>
      <c r="Y7" s="5">
        <f t="shared" si="10"/>
        <v>13349261</v>
      </c>
      <c r="Z7" s="5"/>
      <c r="AA7" s="8">
        <v>123730</v>
      </c>
      <c r="AB7" s="5">
        <f t="shared" si="4"/>
        <v>13472991</v>
      </c>
      <c r="AD7" s="6">
        <v>45294</v>
      </c>
      <c r="AE7" s="8">
        <v>17899752</v>
      </c>
      <c r="AF7" s="8">
        <v>3665210</v>
      </c>
      <c r="AG7" s="8">
        <v>151840</v>
      </c>
      <c r="AH7" s="5">
        <f t="shared" si="5"/>
        <v>21716802</v>
      </c>
      <c r="AI7" s="5">
        <v>1282900</v>
      </c>
      <c r="AJ7" s="8">
        <v>0</v>
      </c>
      <c r="AK7" s="5">
        <f t="shared" si="12"/>
        <v>22999702</v>
      </c>
      <c r="AM7" s="6">
        <v>45660</v>
      </c>
      <c r="AN7" s="8">
        <v>3435859</v>
      </c>
      <c r="AO7" s="8">
        <v>1179600</v>
      </c>
      <c r="AP7" s="8">
        <v>0</v>
      </c>
      <c r="AQ7" s="5">
        <f t="shared" si="6"/>
        <v>4615459</v>
      </c>
      <c r="AR7" s="5">
        <v>436500</v>
      </c>
      <c r="AS7" s="5"/>
      <c r="AT7" s="8">
        <f t="shared" si="11"/>
        <v>436500</v>
      </c>
      <c r="AU7" s="5"/>
      <c r="AV7" s="5">
        <f t="shared" si="13"/>
        <v>5051959</v>
      </c>
      <c r="AX7" s="6">
        <v>46026</v>
      </c>
      <c r="AY7" s="8">
        <v>2164150</v>
      </c>
      <c r="AZ7" s="8">
        <v>656710</v>
      </c>
      <c r="BA7" s="8">
        <v>316320</v>
      </c>
      <c r="BB7" s="5">
        <f t="shared" si="7"/>
        <v>3137180</v>
      </c>
      <c r="BC7" s="5">
        <v>719020</v>
      </c>
      <c r="BD7" s="5">
        <v>37900</v>
      </c>
      <c r="BE7" s="8">
        <f t="shared" si="8"/>
        <v>756920</v>
      </c>
      <c r="BF7" s="5">
        <v>161890</v>
      </c>
      <c r="BG7" s="5">
        <f t="shared" si="9"/>
        <v>4055990</v>
      </c>
    </row>
    <row r="8" spans="1:59">
      <c r="A8" s="6">
        <v>43838</v>
      </c>
      <c r="B8" s="7">
        <v>6484617</v>
      </c>
      <c r="C8" s="7">
        <v>2468646</v>
      </c>
      <c r="D8" s="7">
        <f t="shared" si="0"/>
        <v>8953263</v>
      </c>
      <c r="F8" s="6">
        <v>44202</v>
      </c>
      <c r="G8" s="7">
        <v>13275641</v>
      </c>
      <c r="H8" s="7">
        <v>4631650</v>
      </c>
      <c r="K8" s="7">
        <f t="shared" si="1"/>
        <v>17907291</v>
      </c>
      <c r="M8" s="6">
        <v>44566</v>
      </c>
      <c r="N8" s="5">
        <v>11859029</v>
      </c>
      <c r="O8" s="5">
        <v>3446360</v>
      </c>
      <c r="P8" s="5">
        <v>338020</v>
      </c>
      <c r="Q8" s="5">
        <f t="shared" si="2"/>
        <v>15643409</v>
      </c>
      <c r="R8" s="5">
        <v>460044</v>
      </c>
      <c r="S8" s="5">
        <f t="shared" si="3"/>
        <v>16103453</v>
      </c>
      <c r="U8" s="6">
        <v>44930</v>
      </c>
      <c r="V8" s="8">
        <v>9151600</v>
      </c>
      <c r="W8" s="8">
        <v>2684570</v>
      </c>
      <c r="X8" s="8">
        <v>236830</v>
      </c>
      <c r="Y8" s="5">
        <f t="shared" si="10"/>
        <v>12073000</v>
      </c>
      <c r="Z8" s="5"/>
      <c r="AA8" s="8">
        <v>113760</v>
      </c>
      <c r="AB8" s="5">
        <f t="shared" si="4"/>
        <v>12186760</v>
      </c>
      <c r="AD8" s="6">
        <v>45295</v>
      </c>
      <c r="AE8" s="8">
        <v>6249182</v>
      </c>
      <c r="AF8" s="8">
        <v>2239320</v>
      </c>
      <c r="AG8" s="8">
        <v>71110</v>
      </c>
      <c r="AH8" s="5">
        <f t="shared" si="5"/>
        <v>8559612</v>
      </c>
      <c r="AI8" s="5">
        <v>1855120</v>
      </c>
      <c r="AJ8" s="8">
        <v>0</v>
      </c>
      <c r="AK8" s="5">
        <f t="shared" si="12"/>
        <v>10414732</v>
      </c>
      <c r="AM8" s="6">
        <v>45661</v>
      </c>
      <c r="AN8" s="8">
        <v>3315641</v>
      </c>
      <c r="AO8" s="8">
        <v>1078820</v>
      </c>
      <c r="AP8" s="8">
        <v>0</v>
      </c>
      <c r="AQ8" s="5">
        <f t="shared" si="6"/>
        <v>4394461</v>
      </c>
      <c r="AR8" s="5">
        <v>478100</v>
      </c>
      <c r="AS8" s="5"/>
      <c r="AT8" s="8">
        <f t="shared" si="11"/>
        <v>478100</v>
      </c>
      <c r="AU8" s="5"/>
      <c r="AV8" s="5">
        <f t="shared" si="13"/>
        <v>4872561</v>
      </c>
      <c r="AX8" s="6">
        <v>46027</v>
      </c>
      <c r="AY8" s="8">
        <v>12248591</v>
      </c>
      <c r="AZ8" s="8">
        <v>1744990</v>
      </c>
      <c r="BA8" s="8">
        <v>266650</v>
      </c>
      <c r="BB8" s="5">
        <f t="shared" si="7"/>
        <v>14260231</v>
      </c>
      <c r="BC8" s="5">
        <v>1063100</v>
      </c>
      <c r="BD8" s="5">
        <v>271380</v>
      </c>
      <c r="BE8" s="8">
        <f t="shared" si="8"/>
        <v>1334480</v>
      </c>
      <c r="BF8" s="5">
        <v>77410</v>
      </c>
      <c r="BG8" s="5">
        <f t="shared" si="9"/>
        <v>15672121</v>
      </c>
    </row>
    <row r="9" spans="1:59">
      <c r="A9" s="6">
        <v>43839</v>
      </c>
      <c r="B9" s="7">
        <v>2308653</v>
      </c>
      <c r="C9" s="7">
        <v>1712391</v>
      </c>
      <c r="D9" s="7">
        <f t="shared" si="0"/>
        <v>4021044</v>
      </c>
      <c r="F9" s="6">
        <v>44203</v>
      </c>
      <c r="G9" s="7">
        <v>7212948</v>
      </c>
      <c r="H9" s="7">
        <v>2339920</v>
      </c>
      <c r="K9" s="7">
        <f t="shared" si="1"/>
        <v>9552868</v>
      </c>
      <c r="M9" s="6">
        <v>44567</v>
      </c>
      <c r="N9" s="5">
        <v>8816269</v>
      </c>
      <c r="O9" s="5">
        <v>2775500</v>
      </c>
      <c r="P9" s="5">
        <v>504210</v>
      </c>
      <c r="Q9" s="5">
        <f t="shared" si="2"/>
        <v>12095979</v>
      </c>
      <c r="R9" s="5">
        <v>446568</v>
      </c>
      <c r="S9" s="5">
        <f t="shared" si="3"/>
        <v>12542547</v>
      </c>
      <c r="U9" s="6">
        <v>44931</v>
      </c>
      <c r="V9" s="8">
        <v>9547356</v>
      </c>
      <c r="W9" s="8">
        <v>3006270</v>
      </c>
      <c r="X9" s="8">
        <v>230410</v>
      </c>
      <c r="Y9" s="5">
        <f t="shared" si="10"/>
        <v>12784036</v>
      </c>
      <c r="Z9" s="5"/>
      <c r="AA9" s="8">
        <v>58600</v>
      </c>
      <c r="AB9" s="5">
        <f t="shared" si="4"/>
        <v>12842636</v>
      </c>
      <c r="AD9" s="6">
        <v>45296</v>
      </c>
      <c r="AE9" s="8">
        <v>4510091</v>
      </c>
      <c r="AF9" s="8">
        <v>2534810</v>
      </c>
      <c r="AG9" s="8">
        <v>122100</v>
      </c>
      <c r="AH9" s="5">
        <f t="shared" si="5"/>
        <v>7167001</v>
      </c>
      <c r="AI9" s="5">
        <v>1564540</v>
      </c>
      <c r="AJ9" s="8">
        <v>0</v>
      </c>
      <c r="AK9" s="5">
        <f t="shared" si="12"/>
        <v>8731541</v>
      </c>
      <c r="AM9" s="6">
        <v>45662</v>
      </c>
      <c r="AN9" s="8">
        <v>7053002</v>
      </c>
      <c r="AO9" s="8">
        <v>2429970</v>
      </c>
      <c r="AP9" s="8">
        <v>0</v>
      </c>
      <c r="AQ9" s="5">
        <f t="shared" si="6"/>
        <v>9482972</v>
      </c>
      <c r="AR9" s="5">
        <v>462460</v>
      </c>
      <c r="AS9" s="5"/>
      <c r="AT9" s="8">
        <f t="shared" si="11"/>
        <v>462460</v>
      </c>
      <c r="AU9" s="5"/>
      <c r="AV9" s="5">
        <f t="shared" si="13"/>
        <v>9945432</v>
      </c>
      <c r="AX9" s="6">
        <v>46028</v>
      </c>
      <c r="AY9" s="8">
        <v>13155240</v>
      </c>
      <c r="AZ9" s="8">
        <v>2505640</v>
      </c>
      <c r="BA9" s="8">
        <v>309050</v>
      </c>
      <c r="BB9" s="5">
        <f t="shared" si="7"/>
        <v>15969930</v>
      </c>
      <c r="BC9" s="5">
        <v>897440</v>
      </c>
      <c r="BD9" s="5">
        <v>173500</v>
      </c>
      <c r="BE9" s="8">
        <f t="shared" si="8"/>
        <v>1070940</v>
      </c>
      <c r="BF9" s="5">
        <v>69400</v>
      </c>
      <c r="BG9" s="5">
        <f t="shared" si="9"/>
        <v>17110270</v>
      </c>
    </row>
    <row r="10" spans="1:59">
      <c r="A10" s="6">
        <v>43840</v>
      </c>
      <c r="B10" s="7">
        <v>1886466</v>
      </c>
      <c r="C10" s="7">
        <v>1766710</v>
      </c>
      <c r="D10" s="7">
        <f t="shared" si="0"/>
        <v>3653176</v>
      </c>
      <c r="F10" s="6">
        <v>44204</v>
      </c>
      <c r="G10" s="7">
        <v>2551347</v>
      </c>
      <c r="H10" s="7">
        <v>1799270</v>
      </c>
      <c r="K10" s="7">
        <f t="shared" si="1"/>
        <v>4350617</v>
      </c>
      <c r="M10" s="6">
        <v>44568</v>
      </c>
      <c r="N10" s="5">
        <v>8671856</v>
      </c>
      <c r="O10" s="5">
        <v>2568965</v>
      </c>
      <c r="P10" s="5">
        <v>367450</v>
      </c>
      <c r="Q10" s="5">
        <f t="shared" si="2"/>
        <v>11608271</v>
      </c>
      <c r="R10" s="5">
        <v>328100</v>
      </c>
      <c r="S10" s="5">
        <f t="shared" si="3"/>
        <v>11936371</v>
      </c>
      <c r="U10" s="6">
        <v>44932</v>
      </c>
      <c r="V10" s="8">
        <v>5098392</v>
      </c>
      <c r="W10" s="8">
        <v>1897470</v>
      </c>
      <c r="X10" s="8">
        <v>118150</v>
      </c>
      <c r="Y10" s="5">
        <f t="shared" si="10"/>
        <v>7114012</v>
      </c>
      <c r="Z10" s="5"/>
      <c r="AA10" s="8">
        <v>43210</v>
      </c>
      <c r="AB10" s="5">
        <f t="shared" si="4"/>
        <v>7157222</v>
      </c>
      <c r="AD10" s="6">
        <v>45297</v>
      </c>
      <c r="AE10" s="8">
        <v>2245679</v>
      </c>
      <c r="AF10" s="8">
        <v>791860</v>
      </c>
      <c r="AG10" s="8">
        <v>117320</v>
      </c>
      <c r="AH10" s="5">
        <f t="shared" si="5"/>
        <v>3154859</v>
      </c>
      <c r="AI10" s="5">
        <v>650060</v>
      </c>
      <c r="AJ10" s="8">
        <v>0</v>
      </c>
      <c r="AK10" s="5">
        <f t="shared" si="12"/>
        <v>3804919</v>
      </c>
      <c r="AM10" s="6">
        <v>45663</v>
      </c>
      <c r="AN10" s="8">
        <v>17088067</v>
      </c>
      <c r="AO10" s="8">
        <v>1837180</v>
      </c>
      <c r="AP10" s="8">
        <v>687330</v>
      </c>
      <c r="AQ10" s="5">
        <f t="shared" si="6"/>
        <v>19612577</v>
      </c>
      <c r="AR10" s="5">
        <v>5333480</v>
      </c>
      <c r="AS10" s="5"/>
      <c r="AT10" s="8">
        <f t="shared" si="11"/>
        <v>5333480</v>
      </c>
      <c r="AU10" s="5"/>
      <c r="AV10" s="5">
        <f t="shared" si="13"/>
        <v>24946057</v>
      </c>
      <c r="AX10" s="6">
        <v>46029</v>
      </c>
      <c r="AY10" s="8">
        <v>11988640</v>
      </c>
      <c r="AZ10" s="8">
        <v>2546160</v>
      </c>
      <c r="BA10" s="8">
        <v>133400</v>
      </c>
      <c r="BB10" s="5">
        <f t="shared" si="7"/>
        <v>14668200</v>
      </c>
      <c r="BC10" s="5">
        <v>1015910</v>
      </c>
      <c r="BD10" s="5">
        <v>89880</v>
      </c>
      <c r="BE10" s="8">
        <f t="shared" si="8"/>
        <v>1105790</v>
      </c>
      <c r="BF10" s="5">
        <v>134000</v>
      </c>
      <c r="BG10" s="5">
        <f t="shared" si="9"/>
        <v>15907990</v>
      </c>
    </row>
    <row r="11" spans="1:59">
      <c r="A11" s="6">
        <v>43841</v>
      </c>
      <c r="B11" s="7">
        <v>2433183</v>
      </c>
      <c r="C11" s="7">
        <v>1337810</v>
      </c>
      <c r="D11" s="7">
        <f t="shared" si="0"/>
        <v>3770993</v>
      </c>
      <c r="F11" s="6">
        <v>44205</v>
      </c>
      <c r="G11" s="7">
        <v>2117014</v>
      </c>
      <c r="H11" s="7">
        <v>1777620</v>
      </c>
      <c r="K11" s="7">
        <f t="shared" si="1"/>
        <v>3894634</v>
      </c>
      <c r="M11" s="6">
        <v>44569</v>
      </c>
      <c r="N11" s="5">
        <v>2704179</v>
      </c>
      <c r="O11" s="5">
        <v>1436170</v>
      </c>
      <c r="P11" s="5">
        <v>95920</v>
      </c>
      <c r="Q11" s="5">
        <f t="shared" si="2"/>
        <v>4236269</v>
      </c>
      <c r="R11" s="5">
        <v>451160</v>
      </c>
      <c r="S11" s="5">
        <f t="shared" si="3"/>
        <v>4687429</v>
      </c>
      <c r="U11" s="6">
        <v>44933</v>
      </c>
      <c r="V11" s="8">
        <v>2488048</v>
      </c>
      <c r="W11" s="8">
        <v>1081340</v>
      </c>
      <c r="X11" s="8">
        <v>89420</v>
      </c>
      <c r="Y11" s="5">
        <f t="shared" si="10"/>
        <v>3658808</v>
      </c>
      <c r="Z11" s="5"/>
      <c r="AA11" s="8">
        <v>14900</v>
      </c>
      <c r="AB11" s="5">
        <f t="shared" si="4"/>
        <v>3673708</v>
      </c>
      <c r="AD11" s="6">
        <v>45298</v>
      </c>
      <c r="AE11" s="8">
        <v>1690677</v>
      </c>
      <c r="AF11" s="8">
        <v>1231370</v>
      </c>
      <c r="AG11" s="8">
        <v>244360</v>
      </c>
      <c r="AH11" s="5">
        <f t="shared" si="5"/>
        <v>3166407</v>
      </c>
      <c r="AI11" s="5">
        <v>758360</v>
      </c>
      <c r="AJ11" s="8">
        <v>0</v>
      </c>
      <c r="AK11" s="5">
        <f t="shared" si="12"/>
        <v>3924767</v>
      </c>
      <c r="AM11" s="6">
        <v>45664</v>
      </c>
      <c r="AN11" s="8">
        <v>18465062</v>
      </c>
      <c r="AO11" s="8">
        <v>2058410</v>
      </c>
      <c r="AP11" s="8">
        <v>383710</v>
      </c>
      <c r="AQ11" s="5">
        <f t="shared" si="6"/>
        <v>20907182</v>
      </c>
      <c r="AR11" s="5">
        <v>2324850</v>
      </c>
      <c r="AS11" s="5"/>
      <c r="AT11" s="8">
        <f t="shared" si="11"/>
        <v>2324850</v>
      </c>
      <c r="AU11" s="5"/>
      <c r="AV11" s="5">
        <f t="shared" si="13"/>
        <v>23232032</v>
      </c>
      <c r="AX11" s="6">
        <v>46030</v>
      </c>
      <c r="AY11" s="8">
        <v>9698460</v>
      </c>
      <c r="AZ11" s="8">
        <v>1408630</v>
      </c>
      <c r="BA11" s="8">
        <v>397230</v>
      </c>
      <c r="BB11" s="5">
        <f t="shared" si="7"/>
        <v>11504320</v>
      </c>
      <c r="BC11" s="5">
        <v>1316630</v>
      </c>
      <c r="BD11" s="5">
        <v>293460</v>
      </c>
      <c r="BE11" s="8">
        <f t="shared" si="8"/>
        <v>1610090</v>
      </c>
      <c r="BF11" s="5">
        <v>166000</v>
      </c>
      <c r="BG11" s="5">
        <f t="shared" si="9"/>
        <v>13280410</v>
      </c>
    </row>
    <row r="12" spans="1:59">
      <c r="A12" s="6">
        <v>43842</v>
      </c>
      <c r="B12" s="7">
        <v>2175134</v>
      </c>
      <c r="C12" s="7">
        <v>1455260</v>
      </c>
      <c r="D12" s="7">
        <f t="shared" si="0"/>
        <v>3630394</v>
      </c>
      <c r="F12" s="6">
        <v>44206</v>
      </c>
      <c r="G12" s="7">
        <v>2822718</v>
      </c>
      <c r="H12" s="7">
        <v>2606200</v>
      </c>
      <c r="K12" s="7">
        <f t="shared" si="1"/>
        <v>5428918</v>
      </c>
      <c r="M12" s="6">
        <v>44570</v>
      </c>
      <c r="N12" s="5">
        <v>2720768</v>
      </c>
      <c r="O12" s="5">
        <v>1021775</v>
      </c>
      <c r="P12" s="5">
        <v>424150</v>
      </c>
      <c r="Q12" s="5">
        <f t="shared" si="2"/>
        <v>4166693</v>
      </c>
      <c r="R12" s="5">
        <v>651574</v>
      </c>
      <c r="S12" s="5">
        <f t="shared" si="3"/>
        <v>4818267</v>
      </c>
      <c r="U12" s="6">
        <v>44934</v>
      </c>
      <c r="V12" s="8">
        <v>4379001</v>
      </c>
      <c r="W12" s="8">
        <v>1346570</v>
      </c>
      <c r="X12" s="8">
        <v>119990</v>
      </c>
      <c r="Y12" s="5">
        <f t="shared" si="10"/>
        <v>5845561</v>
      </c>
      <c r="Z12" s="5"/>
      <c r="AA12" s="8">
        <v>14900</v>
      </c>
      <c r="AB12" s="5">
        <f t="shared" si="4"/>
        <v>5860461</v>
      </c>
      <c r="AD12" s="6">
        <v>45299</v>
      </c>
      <c r="AE12" s="8">
        <v>6730724</v>
      </c>
      <c r="AF12" s="8">
        <v>1979971</v>
      </c>
      <c r="AG12" s="8">
        <v>150510</v>
      </c>
      <c r="AH12" s="5">
        <f t="shared" si="5"/>
        <v>8861205</v>
      </c>
      <c r="AI12" s="5">
        <v>1401940</v>
      </c>
      <c r="AJ12" s="8">
        <v>16500</v>
      </c>
      <c r="AK12" s="5">
        <f t="shared" si="12"/>
        <v>10279645</v>
      </c>
      <c r="AM12" s="6">
        <v>45665</v>
      </c>
      <c r="AN12" s="8">
        <v>17003679</v>
      </c>
      <c r="AO12" s="8">
        <v>1681550</v>
      </c>
      <c r="AP12" s="8">
        <v>360330</v>
      </c>
      <c r="AQ12" s="5">
        <f t="shared" si="6"/>
        <v>19045559</v>
      </c>
      <c r="AR12" s="5">
        <v>1676840</v>
      </c>
      <c r="AS12" s="5"/>
      <c r="AT12" s="8">
        <f t="shared" si="11"/>
        <v>1676840</v>
      </c>
      <c r="AU12" s="5"/>
      <c r="AV12" s="5">
        <f t="shared" si="13"/>
        <v>20722399</v>
      </c>
      <c r="AX12" s="6">
        <v>46031</v>
      </c>
      <c r="AY12" s="8">
        <v>6708690</v>
      </c>
      <c r="AZ12" s="8">
        <v>872010</v>
      </c>
      <c r="BA12" s="8">
        <v>133170</v>
      </c>
      <c r="BB12" s="5">
        <f t="shared" si="7"/>
        <v>7713870</v>
      </c>
      <c r="BC12" s="5">
        <v>1280050</v>
      </c>
      <c r="BD12" s="5">
        <v>331000</v>
      </c>
      <c r="BE12" s="8">
        <f t="shared" si="8"/>
        <v>1611050</v>
      </c>
      <c r="BF12" s="5">
        <v>50000</v>
      </c>
      <c r="BG12" s="5">
        <f t="shared" si="9"/>
        <v>9374920</v>
      </c>
    </row>
    <row r="13" spans="1:59">
      <c r="A13" s="6">
        <v>43843</v>
      </c>
      <c r="B13" s="7">
        <v>3898950</v>
      </c>
      <c r="C13" s="7">
        <v>2294080</v>
      </c>
      <c r="D13" s="7">
        <f t="shared" si="0"/>
        <v>6193030</v>
      </c>
      <c r="F13" s="6">
        <v>44207</v>
      </c>
      <c r="G13" s="7">
        <v>4215203</v>
      </c>
      <c r="H13" s="7">
        <v>3255340</v>
      </c>
      <c r="K13" s="7">
        <f t="shared" si="1"/>
        <v>7470543</v>
      </c>
      <c r="M13" s="6">
        <v>44571</v>
      </c>
      <c r="N13" s="5">
        <v>8308339</v>
      </c>
      <c r="O13" s="5">
        <v>2734370</v>
      </c>
      <c r="P13" s="5">
        <v>672450</v>
      </c>
      <c r="Q13" s="5">
        <f t="shared" si="2"/>
        <v>11715159</v>
      </c>
      <c r="R13" s="5">
        <v>619638</v>
      </c>
      <c r="S13" s="5">
        <f t="shared" si="3"/>
        <v>12334797</v>
      </c>
      <c r="U13" s="6">
        <v>44935</v>
      </c>
      <c r="V13" s="8">
        <v>8832510</v>
      </c>
      <c r="W13" s="8">
        <v>2043950</v>
      </c>
      <c r="X13" s="8">
        <v>132440</v>
      </c>
      <c r="Y13" s="5">
        <f t="shared" si="10"/>
        <v>11008900</v>
      </c>
      <c r="Z13" s="5"/>
      <c r="AA13" s="8">
        <v>43210</v>
      </c>
      <c r="AB13" s="5">
        <f t="shared" si="4"/>
        <v>11052110</v>
      </c>
      <c r="AD13" s="6">
        <v>45300</v>
      </c>
      <c r="AE13" s="8">
        <v>11457380</v>
      </c>
      <c r="AF13" s="8">
        <v>2781760</v>
      </c>
      <c r="AG13" s="8">
        <v>286770</v>
      </c>
      <c r="AH13" s="5">
        <f t="shared" si="5"/>
        <v>14525910</v>
      </c>
      <c r="AI13" s="5">
        <v>1019780</v>
      </c>
      <c r="AJ13" s="8">
        <v>0</v>
      </c>
      <c r="AK13" s="5">
        <f t="shared" si="12"/>
        <v>15545690</v>
      </c>
      <c r="AM13" s="6">
        <v>45666</v>
      </c>
      <c r="AN13" s="8">
        <v>16428254</v>
      </c>
      <c r="AO13" s="8">
        <v>2430100</v>
      </c>
      <c r="AP13" s="8">
        <v>301360</v>
      </c>
      <c r="AQ13" s="5">
        <f t="shared" si="6"/>
        <v>19159714</v>
      </c>
      <c r="AR13" s="5">
        <v>1111830</v>
      </c>
      <c r="AS13" s="5"/>
      <c r="AT13" s="8">
        <f t="shared" si="11"/>
        <v>1111830</v>
      </c>
      <c r="AU13" s="5"/>
      <c r="AV13" s="5">
        <f t="shared" si="13"/>
        <v>20271544</v>
      </c>
      <c r="AX13" s="6">
        <v>46032</v>
      </c>
      <c r="AY13" s="8">
        <v>4504150</v>
      </c>
      <c r="AZ13" s="8">
        <v>609550</v>
      </c>
      <c r="BA13" s="8">
        <v>207600</v>
      </c>
      <c r="BB13" s="5">
        <f t="shared" si="7"/>
        <v>5321300</v>
      </c>
      <c r="BC13" s="5">
        <v>996170</v>
      </c>
      <c r="BD13" s="5">
        <v>105700</v>
      </c>
      <c r="BE13" s="8">
        <f t="shared" si="8"/>
        <v>1101870</v>
      </c>
      <c r="BF13" s="5">
        <v>66000</v>
      </c>
      <c r="BG13" s="5">
        <f t="shared" si="9"/>
        <v>6489170</v>
      </c>
    </row>
    <row r="14" spans="1:59">
      <c r="A14" s="6">
        <v>43844</v>
      </c>
      <c r="B14" s="7">
        <v>7363201</v>
      </c>
      <c r="C14" s="7">
        <v>1478895</v>
      </c>
      <c r="D14" s="7">
        <f t="shared" si="0"/>
        <v>8842096</v>
      </c>
      <c r="F14" s="6">
        <v>44208</v>
      </c>
      <c r="G14" s="7">
        <v>7439943</v>
      </c>
      <c r="H14" s="7">
        <v>2957920</v>
      </c>
      <c r="K14" s="7">
        <f t="shared" si="1"/>
        <v>10397863</v>
      </c>
      <c r="M14" s="6">
        <v>44572</v>
      </c>
      <c r="N14" s="5">
        <v>10167754</v>
      </c>
      <c r="O14" s="5">
        <v>3358690</v>
      </c>
      <c r="P14" s="5">
        <v>455130</v>
      </c>
      <c r="Q14" s="5">
        <f t="shared" si="2"/>
        <v>13981574</v>
      </c>
      <c r="R14" s="5">
        <v>392884</v>
      </c>
      <c r="S14" s="5">
        <f t="shared" si="3"/>
        <v>14374458</v>
      </c>
      <c r="U14" s="6">
        <v>44936</v>
      </c>
      <c r="V14" s="8">
        <v>9862270</v>
      </c>
      <c r="W14" s="8">
        <v>2322340</v>
      </c>
      <c r="X14" s="8">
        <v>126390</v>
      </c>
      <c r="Y14" s="5">
        <f t="shared" si="10"/>
        <v>12311000</v>
      </c>
      <c r="Z14" s="5"/>
      <c r="AA14" s="8">
        <v>14900</v>
      </c>
      <c r="AB14" s="5">
        <f t="shared" si="4"/>
        <v>12325900</v>
      </c>
      <c r="AD14" s="6">
        <v>45301</v>
      </c>
      <c r="AE14" s="8">
        <v>14439382</v>
      </c>
      <c r="AF14" s="8">
        <v>2231450</v>
      </c>
      <c r="AG14" s="8">
        <v>173280</v>
      </c>
      <c r="AH14" s="5">
        <f t="shared" si="5"/>
        <v>16844112</v>
      </c>
      <c r="AI14" s="5">
        <v>959180</v>
      </c>
      <c r="AJ14" s="8">
        <v>16500</v>
      </c>
      <c r="AK14" s="5">
        <f t="shared" si="12"/>
        <v>17819792</v>
      </c>
      <c r="AM14" s="6">
        <v>45667</v>
      </c>
      <c r="AN14" s="8">
        <v>13297902</v>
      </c>
      <c r="AO14" s="8">
        <v>1888020</v>
      </c>
      <c r="AP14" s="8">
        <v>206900</v>
      </c>
      <c r="AQ14" s="5">
        <f t="shared" si="6"/>
        <v>15392822</v>
      </c>
      <c r="AR14" s="5">
        <v>814380</v>
      </c>
      <c r="AS14" s="5"/>
      <c r="AT14" s="8">
        <f t="shared" si="11"/>
        <v>814380</v>
      </c>
      <c r="AU14" s="5"/>
      <c r="AV14" s="5">
        <f t="shared" si="13"/>
        <v>16207202</v>
      </c>
      <c r="AX14" s="6">
        <v>46033</v>
      </c>
      <c r="AY14" s="8">
        <v>8099250</v>
      </c>
      <c r="AZ14" s="8">
        <v>1355390</v>
      </c>
      <c r="BA14" s="8">
        <v>315310</v>
      </c>
      <c r="BB14" s="5">
        <f t="shared" si="7"/>
        <v>9769950</v>
      </c>
      <c r="BC14" s="5">
        <v>714660</v>
      </c>
      <c r="BD14" s="5">
        <v>431280</v>
      </c>
      <c r="BE14" s="8">
        <f t="shared" si="8"/>
        <v>1145940</v>
      </c>
      <c r="BF14" s="5">
        <v>25000</v>
      </c>
      <c r="BG14" s="5">
        <f t="shared" si="9"/>
        <v>10940890</v>
      </c>
    </row>
    <row r="15" spans="1:59">
      <c r="A15" s="6">
        <v>43845</v>
      </c>
      <c r="B15" s="7">
        <v>5839293</v>
      </c>
      <c r="C15" s="7">
        <v>2381290</v>
      </c>
      <c r="D15" s="7">
        <f t="shared" si="0"/>
        <v>8220583</v>
      </c>
      <c r="F15" s="6">
        <v>44209</v>
      </c>
      <c r="G15" s="7">
        <v>7041550</v>
      </c>
      <c r="H15" s="7">
        <v>2559660</v>
      </c>
      <c r="K15" s="7">
        <f t="shared" si="1"/>
        <v>9601210</v>
      </c>
      <c r="M15" s="6">
        <v>44573</v>
      </c>
      <c r="N15" s="5">
        <v>9705396</v>
      </c>
      <c r="O15" s="5">
        <v>2939300</v>
      </c>
      <c r="P15" s="5">
        <v>425480</v>
      </c>
      <c r="Q15" s="5">
        <f t="shared" si="2"/>
        <v>13070176</v>
      </c>
      <c r="R15" s="5">
        <v>505706</v>
      </c>
      <c r="S15" s="5">
        <f t="shared" si="3"/>
        <v>13575882</v>
      </c>
      <c r="U15" s="6">
        <v>44937</v>
      </c>
      <c r="V15" s="8">
        <v>14161781</v>
      </c>
      <c r="W15" s="8">
        <v>1861003</v>
      </c>
      <c r="X15" s="8">
        <v>151040</v>
      </c>
      <c r="Y15" s="5">
        <f t="shared" si="10"/>
        <v>16173824</v>
      </c>
      <c r="Z15" s="5"/>
      <c r="AA15" s="8">
        <v>58110</v>
      </c>
      <c r="AB15" s="5">
        <f t="shared" si="4"/>
        <v>16231934</v>
      </c>
      <c r="AD15" s="6">
        <v>45302</v>
      </c>
      <c r="AE15" s="8">
        <v>13859342</v>
      </c>
      <c r="AF15" s="8">
        <v>1689110</v>
      </c>
      <c r="AG15" s="8">
        <v>137740</v>
      </c>
      <c r="AH15" s="5">
        <f t="shared" si="5"/>
        <v>15686192</v>
      </c>
      <c r="AI15" s="5">
        <v>1591060</v>
      </c>
      <c r="AJ15" s="8">
        <v>86500</v>
      </c>
      <c r="AK15" s="5">
        <f t="shared" si="12"/>
        <v>17363752</v>
      </c>
      <c r="AM15" s="6">
        <v>45668</v>
      </c>
      <c r="AN15" s="8">
        <v>3283152</v>
      </c>
      <c r="AO15" s="8">
        <v>764140</v>
      </c>
      <c r="AP15" s="8">
        <v>90260</v>
      </c>
      <c r="AQ15" s="5">
        <f t="shared" si="6"/>
        <v>4137552</v>
      </c>
      <c r="AR15" s="5">
        <v>913950</v>
      </c>
      <c r="AS15" s="5"/>
      <c r="AT15" s="8">
        <f t="shared" si="11"/>
        <v>913950</v>
      </c>
      <c r="AU15" s="5"/>
      <c r="AV15" s="5">
        <f t="shared" si="13"/>
        <v>5051502</v>
      </c>
      <c r="AX15" s="6">
        <v>46034</v>
      </c>
      <c r="AY15" s="8">
        <v>3506020</v>
      </c>
      <c r="AZ15" s="8">
        <v>1020770</v>
      </c>
      <c r="BA15" s="8">
        <v>298930</v>
      </c>
      <c r="BB15" s="5">
        <f>SUM(AY15:BA15)</f>
        <v>4825720</v>
      </c>
      <c r="BC15" s="5">
        <v>3906521</v>
      </c>
      <c r="BD15" s="5">
        <v>157680</v>
      </c>
      <c r="BE15" s="8">
        <f t="shared" si="8"/>
        <v>4064201</v>
      </c>
      <c r="BF15" s="5">
        <v>100000</v>
      </c>
      <c r="BG15" s="5">
        <f t="shared" si="9"/>
        <v>8989921</v>
      </c>
    </row>
    <row r="16" spans="1:59">
      <c r="A16" s="6">
        <v>43846</v>
      </c>
      <c r="B16" s="7">
        <v>8468156</v>
      </c>
      <c r="C16" s="7">
        <v>2507950</v>
      </c>
      <c r="D16" s="7">
        <f t="shared" si="0"/>
        <v>10976106</v>
      </c>
      <c r="F16" s="6">
        <v>44210</v>
      </c>
      <c r="G16" s="7">
        <v>13577566</v>
      </c>
      <c r="H16" s="7">
        <v>2598250</v>
      </c>
      <c r="K16" s="7">
        <f t="shared" si="1"/>
        <v>16175816</v>
      </c>
      <c r="M16" s="6">
        <v>44574</v>
      </c>
      <c r="N16" s="5">
        <v>8519983</v>
      </c>
      <c r="O16" s="5">
        <v>3662380</v>
      </c>
      <c r="P16" s="5">
        <v>359200</v>
      </c>
      <c r="Q16" s="5">
        <f t="shared" si="2"/>
        <v>12541563</v>
      </c>
      <c r="R16" s="5">
        <v>436508</v>
      </c>
      <c r="S16" s="5">
        <f t="shared" si="3"/>
        <v>12978071</v>
      </c>
      <c r="U16" s="6">
        <v>44938</v>
      </c>
      <c r="V16" s="8">
        <v>7815015</v>
      </c>
      <c r="W16" s="8">
        <v>2236820</v>
      </c>
      <c r="X16" s="8">
        <v>194970</v>
      </c>
      <c r="Y16" s="5">
        <f t="shared" si="10"/>
        <v>10246805</v>
      </c>
      <c r="Z16" s="5"/>
      <c r="AA16" s="8">
        <v>39615</v>
      </c>
      <c r="AB16" s="5">
        <f t="shared" si="4"/>
        <v>10286420</v>
      </c>
      <c r="AD16" s="6">
        <v>45303</v>
      </c>
      <c r="AE16" s="8">
        <v>10228101</v>
      </c>
      <c r="AF16" s="8">
        <v>1230850</v>
      </c>
      <c r="AG16" s="8">
        <v>305770</v>
      </c>
      <c r="AH16" s="5">
        <f t="shared" si="5"/>
        <v>11764721</v>
      </c>
      <c r="AI16" s="5">
        <v>1433800</v>
      </c>
      <c r="AJ16" s="8">
        <v>0</v>
      </c>
      <c r="AK16" s="5">
        <f t="shared" si="12"/>
        <v>13198521</v>
      </c>
      <c r="AM16" s="6">
        <v>45669</v>
      </c>
      <c r="AN16" s="8">
        <v>0</v>
      </c>
      <c r="AO16" s="8">
        <v>0</v>
      </c>
      <c r="AP16" s="8">
        <v>0</v>
      </c>
      <c r="AQ16" s="5">
        <f t="shared" si="6"/>
        <v>0</v>
      </c>
      <c r="AR16" s="5">
        <v>760450</v>
      </c>
      <c r="AS16" s="5"/>
      <c r="AT16" s="8">
        <f t="shared" si="11"/>
        <v>760450</v>
      </c>
      <c r="AU16" s="5"/>
      <c r="AV16" s="5">
        <f t="shared" si="13"/>
        <v>760450</v>
      </c>
      <c r="AX16" s="6">
        <v>46035</v>
      </c>
      <c r="AY16" s="8">
        <v>10794580</v>
      </c>
      <c r="AZ16" s="8">
        <v>2589620</v>
      </c>
      <c r="BA16" s="8">
        <v>313900</v>
      </c>
      <c r="BB16" s="5">
        <f>SUM(AY16:BA16)</f>
        <v>13698100</v>
      </c>
      <c r="BC16" s="5">
        <v>1286240</v>
      </c>
      <c r="BD16" s="5">
        <v>241600</v>
      </c>
      <c r="BE16" s="8">
        <f t="shared" si="8"/>
        <v>1527840</v>
      </c>
      <c r="BF16" s="5">
        <v>53500</v>
      </c>
      <c r="BG16" s="5">
        <f t="shared" si="9"/>
        <v>15279440</v>
      </c>
    </row>
    <row r="17" spans="1:59">
      <c r="A17" s="6">
        <v>43847</v>
      </c>
      <c r="B17" s="7">
        <v>2193537</v>
      </c>
      <c r="C17" s="7">
        <v>1217410</v>
      </c>
      <c r="D17" s="7">
        <f t="shared" si="0"/>
        <v>3410947</v>
      </c>
      <c r="F17" s="6">
        <v>44211</v>
      </c>
      <c r="G17" s="7">
        <v>7770788</v>
      </c>
      <c r="H17" s="7">
        <v>1415400</v>
      </c>
      <c r="K17" s="7">
        <f t="shared" si="1"/>
        <v>9186188</v>
      </c>
      <c r="M17" s="6">
        <v>44575</v>
      </c>
      <c r="N17" s="5">
        <v>3527616</v>
      </c>
      <c r="O17" s="5">
        <v>1669180</v>
      </c>
      <c r="P17" s="5">
        <v>356380</v>
      </c>
      <c r="Q17" s="5">
        <f t="shared" si="2"/>
        <v>5553176</v>
      </c>
      <c r="R17" s="5">
        <v>508436</v>
      </c>
      <c r="S17" s="5">
        <f t="shared" si="3"/>
        <v>6061612</v>
      </c>
      <c r="U17" s="6">
        <v>44939</v>
      </c>
      <c r="V17" s="8">
        <v>5805184</v>
      </c>
      <c r="W17" s="8">
        <v>1360040</v>
      </c>
      <c r="X17" s="8">
        <v>34680</v>
      </c>
      <c r="Y17" s="5">
        <f t="shared" si="10"/>
        <v>7199904</v>
      </c>
      <c r="Z17" s="5"/>
      <c r="AA17" s="8">
        <v>29800</v>
      </c>
      <c r="AB17" s="5">
        <f t="shared" si="4"/>
        <v>7229704</v>
      </c>
      <c r="AD17" s="6">
        <v>45304</v>
      </c>
      <c r="AE17" s="8">
        <v>1887347</v>
      </c>
      <c r="AF17" s="8">
        <v>682340</v>
      </c>
      <c r="AG17" s="8">
        <v>53930</v>
      </c>
      <c r="AH17" s="5">
        <f t="shared" si="5"/>
        <v>2623617</v>
      </c>
      <c r="AI17" s="5">
        <v>1425540</v>
      </c>
      <c r="AJ17" s="8">
        <v>0</v>
      </c>
      <c r="AK17" s="5">
        <f t="shared" si="12"/>
        <v>4049157</v>
      </c>
      <c r="AM17" s="6">
        <v>45670</v>
      </c>
      <c r="AN17" s="8">
        <v>0</v>
      </c>
      <c r="AO17" s="8">
        <v>0</v>
      </c>
      <c r="AP17" s="8">
        <v>41385500</v>
      </c>
      <c r="AQ17" s="5">
        <f t="shared" si="6"/>
        <v>41385500</v>
      </c>
      <c r="AR17" s="5">
        <v>2558480</v>
      </c>
      <c r="AS17" s="5"/>
      <c r="AT17" s="8">
        <f t="shared" si="11"/>
        <v>2558480</v>
      </c>
      <c r="AU17" s="5"/>
      <c r="AV17" s="5">
        <f t="shared" si="13"/>
        <v>43943980</v>
      </c>
      <c r="AX17" s="6">
        <v>46036</v>
      </c>
      <c r="AY17" s="8">
        <v>11524100</v>
      </c>
      <c r="AZ17" s="8">
        <v>1805980</v>
      </c>
      <c r="BA17" s="8">
        <v>274130</v>
      </c>
      <c r="BB17" s="5">
        <f>SUM(AY17:BA17)</f>
        <v>13604210</v>
      </c>
      <c r="BC17" s="5">
        <v>1679600</v>
      </c>
      <c r="BD17" s="5">
        <v>255380</v>
      </c>
      <c r="BE17" s="8">
        <f t="shared" si="8"/>
        <v>1934980</v>
      </c>
      <c r="BF17" s="5">
        <v>106760</v>
      </c>
      <c r="BG17" s="5">
        <f t="shared" si="9"/>
        <v>15645950</v>
      </c>
    </row>
    <row r="18" spans="1:59">
      <c r="A18" s="6">
        <v>43848</v>
      </c>
      <c r="B18" s="7">
        <v>2132797</v>
      </c>
      <c r="C18" s="7">
        <v>1234880</v>
      </c>
      <c r="D18" s="7">
        <f t="shared" si="0"/>
        <v>3367677</v>
      </c>
      <c r="F18" s="6">
        <v>44212</v>
      </c>
      <c r="G18" s="7">
        <v>3242165</v>
      </c>
      <c r="H18" s="7">
        <v>970950</v>
      </c>
      <c r="K18" s="7">
        <f t="shared" si="1"/>
        <v>4213115</v>
      </c>
      <c r="M18" s="6">
        <v>44576</v>
      </c>
      <c r="N18" s="5">
        <v>2055037</v>
      </c>
      <c r="O18" s="5">
        <v>1052910</v>
      </c>
      <c r="P18" s="5">
        <v>131990</v>
      </c>
      <c r="Q18" s="5">
        <f t="shared" si="2"/>
        <v>3239937</v>
      </c>
      <c r="R18" s="5">
        <v>202000</v>
      </c>
      <c r="S18" s="5">
        <f t="shared" si="3"/>
        <v>3441937</v>
      </c>
      <c r="U18" s="6">
        <v>44940</v>
      </c>
      <c r="V18" s="8">
        <v>4713724</v>
      </c>
      <c r="W18" s="8">
        <v>1722600</v>
      </c>
      <c r="X18" s="8">
        <v>131430</v>
      </c>
      <c r="Y18" s="5">
        <f t="shared" si="10"/>
        <v>6567754</v>
      </c>
      <c r="Z18" s="5"/>
      <c r="AA18" s="8">
        <v>54720</v>
      </c>
      <c r="AB18" s="5">
        <f t="shared" si="4"/>
        <v>6622474</v>
      </c>
      <c r="AD18" s="6">
        <v>45305</v>
      </c>
      <c r="AE18" s="8">
        <v>2337198</v>
      </c>
      <c r="AF18" s="8">
        <v>796710</v>
      </c>
      <c r="AG18" s="8">
        <v>103230</v>
      </c>
      <c r="AH18" s="5">
        <f t="shared" si="5"/>
        <v>3237138</v>
      </c>
      <c r="AI18" s="5">
        <v>1121692</v>
      </c>
      <c r="AJ18" s="8">
        <v>0</v>
      </c>
      <c r="AK18" s="5">
        <f t="shared" si="12"/>
        <v>4358830</v>
      </c>
      <c r="AM18" s="6">
        <v>45671</v>
      </c>
      <c r="AN18" s="8">
        <v>0</v>
      </c>
      <c r="AO18" s="8">
        <v>0</v>
      </c>
      <c r="AP18" s="8">
        <v>26471200</v>
      </c>
      <c r="AQ18" s="5">
        <f t="shared" si="6"/>
        <v>26471200</v>
      </c>
      <c r="AR18" s="5">
        <v>2306252</v>
      </c>
      <c r="AS18" s="5"/>
      <c r="AT18" s="8">
        <f t="shared" si="11"/>
        <v>2306252</v>
      </c>
      <c r="AU18" s="5"/>
      <c r="AV18" s="5">
        <f t="shared" si="13"/>
        <v>28777452</v>
      </c>
      <c r="AX18" s="6">
        <v>46037</v>
      </c>
      <c r="AY18" s="8">
        <v>11113640</v>
      </c>
      <c r="AZ18" s="8">
        <v>1593320</v>
      </c>
      <c r="BA18" s="8">
        <v>180390</v>
      </c>
      <c r="BB18" s="5">
        <f>SUM(AY18:BA18)</f>
        <v>12887350</v>
      </c>
      <c r="BC18" s="5">
        <v>1522120</v>
      </c>
      <c r="BD18" s="5">
        <v>301460</v>
      </c>
      <c r="BE18" s="8">
        <f t="shared" si="8"/>
        <v>1823580</v>
      </c>
      <c r="BF18" s="5">
        <v>103930</v>
      </c>
      <c r="BG18" s="5">
        <f t="shared" si="9"/>
        <v>14814860</v>
      </c>
    </row>
    <row r="19" spans="1:59">
      <c r="A19" s="6">
        <v>43849</v>
      </c>
      <c r="B19" s="7">
        <v>4107087</v>
      </c>
      <c r="C19" s="7">
        <v>2562770</v>
      </c>
      <c r="D19" s="7">
        <f t="shared" si="0"/>
        <v>6669857</v>
      </c>
      <c r="F19" s="6">
        <v>44213</v>
      </c>
      <c r="G19" s="7">
        <v>2197256</v>
      </c>
      <c r="H19" s="7">
        <v>1966390</v>
      </c>
      <c r="K19" s="7">
        <f t="shared" si="1"/>
        <v>4163646</v>
      </c>
      <c r="M19" s="6">
        <v>44577</v>
      </c>
      <c r="N19" s="5">
        <v>2403510</v>
      </c>
      <c r="O19" s="5">
        <v>1168140</v>
      </c>
      <c r="P19" s="5">
        <v>289050</v>
      </c>
      <c r="Q19" s="5">
        <f t="shared" si="2"/>
        <v>3860700</v>
      </c>
      <c r="R19" s="5">
        <v>358153</v>
      </c>
      <c r="S19" s="5">
        <f t="shared" si="3"/>
        <v>4218853</v>
      </c>
      <c r="U19" s="6">
        <v>44941</v>
      </c>
      <c r="V19" s="8">
        <v>3476111</v>
      </c>
      <c r="W19" s="8">
        <v>1245700</v>
      </c>
      <c r="X19" s="8">
        <v>124270</v>
      </c>
      <c r="Y19" s="5">
        <f t="shared" si="10"/>
        <v>4846081</v>
      </c>
      <c r="Z19" s="5"/>
      <c r="AA19" s="8">
        <v>29800</v>
      </c>
      <c r="AB19" s="5">
        <f t="shared" si="4"/>
        <v>4875881</v>
      </c>
      <c r="AD19" s="6">
        <v>45306</v>
      </c>
      <c r="AE19" s="8">
        <v>4773213</v>
      </c>
      <c r="AF19" s="8">
        <v>1985820</v>
      </c>
      <c r="AG19" s="8">
        <v>186340</v>
      </c>
      <c r="AH19" s="5">
        <f t="shared" si="5"/>
        <v>6945373</v>
      </c>
      <c r="AI19" s="5">
        <v>886900</v>
      </c>
      <c r="AJ19" s="8">
        <v>31900</v>
      </c>
      <c r="AK19" s="5">
        <f t="shared" si="12"/>
        <v>7864173</v>
      </c>
      <c r="AM19" s="6">
        <v>45672</v>
      </c>
      <c r="AN19" s="8">
        <v>0</v>
      </c>
      <c r="AO19" s="8">
        <v>0</v>
      </c>
      <c r="AP19" s="8">
        <v>21207800</v>
      </c>
      <c r="AQ19" s="5">
        <f t="shared" si="6"/>
        <v>21207800</v>
      </c>
      <c r="AR19" s="5">
        <v>1687380</v>
      </c>
      <c r="AS19" s="5"/>
      <c r="AT19" s="8">
        <f t="shared" si="11"/>
        <v>1687380</v>
      </c>
      <c r="AU19" s="5"/>
      <c r="AV19" s="5">
        <f t="shared" si="13"/>
        <v>22895180</v>
      </c>
      <c r="AX19" s="6">
        <v>46038</v>
      </c>
      <c r="AY19" s="8">
        <v>11501170</v>
      </c>
      <c r="AZ19" s="8">
        <v>2078720</v>
      </c>
      <c r="BA19" s="8">
        <v>65600</v>
      </c>
      <c r="BB19" s="5">
        <f t="shared" ref="BB19:BB82" si="14">SUM(AY19:BA19)</f>
        <v>13645490</v>
      </c>
      <c r="BC19" s="5">
        <v>1061990</v>
      </c>
      <c r="BD19" s="5">
        <v>317280</v>
      </c>
      <c r="BE19" s="8">
        <f t="shared" si="8"/>
        <v>1379270</v>
      </c>
      <c r="BF19" s="5">
        <v>136860</v>
      </c>
      <c r="BG19" s="5">
        <f t="shared" si="9"/>
        <v>15161620</v>
      </c>
    </row>
    <row r="20" spans="1:59">
      <c r="A20" s="6">
        <v>43850</v>
      </c>
      <c r="B20" s="7">
        <v>6645886</v>
      </c>
      <c r="C20" s="7">
        <v>4088998</v>
      </c>
      <c r="D20" s="7">
        <f t="shared" si="0"/>
        <v>10734884</v>
      </c>
      <c r="F20" s="6">
        <v>44214</v>
      </c>
      <c r="G20" s="7">
        <v>8253895</v>
      </c>
      <c r="H20" s="7">
        <v>2530610</v>
      </c>
      <c r="K20" s="7">
        <f t="shared" si="1"/>
        <v>10784505</v>
      </c>
      <c r="M20" s="6">
        <v>44578</v>
      </c>
      <c r="N20" s="5">
        <v>8424563</v>
      </c>
      <c r="O20" s="5">
        <v>2342730</v>
      </c>
      <c r="P20" s="5">
        <v>901120</v>
      </c>
      <c r="Q20" s="5">
        <f t="shared" si="2"/>
        <v>11668413</v>
      </c>
      <c r="R20" s="5">
        <v>414206</v>
      </c>
      <c r="S20" s="5">
        <f t="shared" si="3"/>
        <v>12082619</v>
      </c>
      <c r="U20" s="6">
        <v>44942</v>
      </c>
      <c r="V20" s="8">
        <v>6444723</v>
      </c>
      <c r="W20" s="8">
        <v>1801540</v>
      </c>
      <c r="X20" s="8">
        <v>135730</v>
      </c>
      <c r="Y20" s="5">
        <f t="shared" si="10"/>
        <v>8381993</v>
      </c>
      <c r="Z20" s="5"/>
      <c r="AA20" s="8">
        <v>41310</v>
      </c>
      <c r="AB20" s="5">
        <f t="shared" si="4"/>
        <v>8423303</v>
      </c>
      <c r="AD20" s="6">
        <v>45307</v>
      </c>
      <c r="AE20" s="8">
        <v>9012927</v>
      </c>
      <c r="AF20" s="8">
        <v>2392160</v>
      </c>
      <c r="AG20" s="8">
        <v>133430</v>
      </c>
      <c r="AH20" s="5">
        <f t="shared" si="5"/>
        <v>11538517</v>
      </c>
      <c r="AI20" s="5">
        <v>1264120</v>
      </c>
      <c r="AJ20" s="8">
        <v>20400</v>
      </c>
      <c r="AK20" s="5">
        <f t="shared" si="12"/>
        <v>12823037</v>
      </c>
      <c r="AM20" s="6">
        <v>45673</v>
      </c>
      <c r="AN20" s="8">
        <v>0</v>
      </c>
      <c r="AO20" s="8">
        <v>0</v>
      </c>
      <c r="AP20" s="8">
        <v>26565100</v>
      </c>
      <c r="AQ20" s="5">
        <f t="shared" si="6"/>
        <v>26565100</v>
      </c>
      <c r="AR20" s="5">
        <v>3366660</v>
      </c>
      <c r="AS20" s="5"/>
      <c r="AT20" s="8">
        <f t="shared" si="11"/>
        <v>3366660</v>
      </c>
      <c r="AU20" s="5"/>
      <c r="AV20" s="5">
        <f t="shared" si="13"/>
        <v>29931760</v>
      </c>
      <c r="AX20" s="6">
        <v>46039</v>
      </c>
      <c r="AY20" s="8">
        <v>202640</v>
      </c>
      <c r="AZ20" s="8">
        <v>145470</v>
      </c>
      <c r="BA20" s="8">
        <v>268160</v>
      </c>
      <c r="BB20" s="5">
        <f t="shared" si="14"/>
        <v>616270</v>
      </c>
      <c r="BC20" s="5">
        <v>438690</v>
      </c>
      <c r="BD20" s="5">
        <v>157500</v>
      </c>
      <c r="BE20" s="8">
        <f t="shared" si="8"/>
        <v>596190</v>
      </c>
      <c r="BF20" s="5">
        <v>75000</v>
      </c>
      <c r="BG20" s="5">
        <f t="shared" si="9"/>
        <v>1287460</v>
      </c>
    </row>
    <row r="21" spans="1:59">
      <c r="A21" s="6">
        <v>43851</v>
      </c>
      <c r="B21" s="7">
        <v>1636902</v>
      </c>
      <c r="C21" s="7">
        <v>783190</v>
      </c>
      <c r="D21" s="7">
        <f t="shared" si="0"/>
        <v>2420092</v>
      </c>
      <c r="F21" s="6">
        <v>44215</v>
      </c>
      <c r="G21" s="7">
        <v>9797195</v>
      </c>
      <c r="H21" s="7">
        <v>3629450</v>
      </c>
      <c r="K21" s="7">
        <f t="shared" si="1"/>
        <v>13426645</v>
      </c>
      <c r="M21" s="6">
        <v>44579</v>
      </c>
      <c r="N21" s="5">
        <v>9454466</v>
      </c>
      <c r="O21" s="5">
        <v>3614420</v>
      </c>
      <c r="P21" s="5">
        <v>454350</v>
      </c>
      <c r="Q21" s="5">
        <f t="shared" si="2"/>
        <v>13523236</v>
      </c>
      <c r="R21" s="5">
        <v>510906</v>
      </c>
      <c r="S21" s="5">
        <f t="shared" si="3"/>
        <v>14034142</v>
      </c>
      <c r="U21" s="6">
        <v>44943</v>
      </c>
      <c r="V21" s="8">
        <v>11685754</v>
      </c>
      <c r="W21" s="8">
        <v>3127090</v>
      </c>
      <c r="X21" s="8">
        <v>43400</v>
      </c>
      <c r="Y21" s="5">
        <f t="shared" si="10"/>
        <v>14856244</v>
      </c>
      <c r="Z21" s="5"/>
      <c r="AA21" s="8">
        <v>28800</v>
      </c>
      <c r="AB21" s="5">
        <f t="shared" si="4"/>
        <v>14885044</v>
      </c>
      <c r="AD21" s="6">
        <v>45308</v>
      </c>
      <c r="AE21" s="8">
        <v>8200716</v>
      </c>
      <c r="AF21" s="8">
        <v>1923540</v>
      </c>
      <c r="AG21" s="8">
        <v>226010</v>
      </c>
      <c r="AH21" s="5">
        <f t="shared" si="5"/>
        <v>10350266</v>
      </c>
      <c r="AI21" s="5">
        <v>1848640</v>
      </c>
      <c r="AJ21" s="8">
        <v>0</v>
      </c>
      <c r="AK21" s="5">
        <f t="shared" si="12"/>
        <v>12198906</v>
      </c>
      <c r="AM21" s="6">
        <v>45674</v>
      </c>
      <c r="AN21" s="8">
        <v>0</v>
      </c>
      <c r="AO21" s="8">
        <v>0</v>
      </c>
      <c r="AP21" s="8">
        <v>21660500</v>
      </c>
      <c r="AQ21" s="5">
        <f t="shared" si="6"/>
        <v>21660500</v>
      </c>
      <c r="AR21" s="5">
        <v>2126450</v>
      </c>
      <c r="AS21" s="5"/>
      <c r="AT21" s="8">
        <f t="shared" si="11"/>
        <v>2126450</v>
      </c>
      <c r="AU21" s="5"/>
      <c r="AV21" s="5">
        <f t="shared" si="13"/>
        <v>23786950</v>
      </c>
      <c r="AX21" s="6">
        <v>46040</v>
      </c>
      <c r="AY21" s="8">
        <v>2064020</v>
      </c>
      <c r="AZ21" s="8">
        <v>783870</v>
      </c>
      <c r="BA21" s="8">
        <v>153910</v>
      </c>
      <c r="BB21" s="5">
        <f t="shared" si="14"/>
        <v>3001800</v>
      </c>
      <c r="BC21" s="5">
        <v>1230770</v>
      </c>
      <c r="BD21" s="5">
        <v>263380</v>
      </c>
      <c r="BE21" s="8">
        <f t="shared" si="8"/>
        <v>1494150</v>
      </c>
      <c r="BF21" s="5">
        <v>131800</v>
      </c>
      <c r="BG21" s="5">
        <f t="shared" si="9"/>
        <v>4627750</v>
      </c>
    </row>
    <row r="22" spans="1:59">
      <c r="A22" s="6">
        <v>43852</v>
      </c>
      <c r="B22" s="7">
        <v>887036</v>
      </c>
      <c r="C22" s="7">
        <v>573730</v>
      </c>
      <c r="D22" s="7">
        <f t="shared" si="0"/>
        <v>1460766</v>
      </c>
      <c r="F22" s="6">
        <v>44216</v>
      </c>
      <c r="G22" s="7">
        <v>10042198</v>
      </c>
      <c r="H22" s="7">
        <v>4254034</v>
      </c>
      <c r="K22" s="7">
        <f t="shared" si="1"/>
        <v>14296232</v>
      </c>
      <c r="M22" s="6">
        <v>44580</v>
      </c>
      <c r="N22" s="5">
        <v>11200269</v>
      </c>
      <c r="O22" s="5">
        <v>3903270</v>
      </c>
      <c r="P22" s="5">
        <v>654910</v>
      </c>
      <c r="Q22" s="5">
        <f t="shared" si="2"/>
        <v>15758449</v>
      </c>
      <c r="R22" s="5">
        <v>414708</v>
      </c>
      <c r="S22" s="5">
        <f t="shared" si="3"/>
        <v>16173157</v>
      </c>
      <c r="U22" s="6">
        <v>44944</v>
      </c>
      <c r="V22" s="8">
        <v>12293637</v>
      </c>
      <c r="W22" s="8">
        <v>414400</v>
      </c>
      <c r="X22" s="8">
        <v>310210</v>
      </c>
      <c r="Y22" s="5">
        <f t="shared" si="10"/>
        <v>13018247</v>
      </c>
      <c r="Z22" s="5"/>
      <c r="AA22" s="8">
        <v>14900</v>
      </c>
      <c r="AB22" s="5">
        <f t="shared" si="4"/>
        <v>13033147</v>
      </c>
      <c r="AD22" s="6">
        <v>45309</v>
      </c>
      <c r="AE22" s="8">
        <v>9077556</v>
      </c>
      <c r="AF22" s="8">
        <v>1847610</v>
      </c>
      <c r="AG22" s="8">
        <v>158130</v>
      </c>
      <c r="AH22" s="5">
        <f t="shared" si="5"/>
        <v>11083296</v>
      </c>
      <c r="AI22" s="5">
        <v>1543160</v>
      </c>
      <c r="AJ22" s="8">
        <v>11500</v>
      </c>
      <c r="AK22" s="5">
        <f t="shared" si="12"/>
        <v>12637956</v>
      </c>
      <c r="AM22" s="6">
        <v>45675</v>
      </c>
      <c r="AN22" s="8">
        <v>0</v>
      </c>
      <c r="AO22" s="8">
        <v>0</v>
      </c>
      <c r="AP22" s="8">
        <v>28074800</v>
      </c>
      <c r="AQ22" s="5">
        <f t="shared" si="6"/>
        <v>28074800</v>
      </c>
      <c r="AR22" s="5">
        <v>1351360</v>
      </c>
      <c r="AS22" s="5"/>
      <c r="AT22" s="8">
        <f t="shared" si="11"/>
        <v>1351360</v>
      </c>
      <c r="AU22" s="5"/>
      <c r="AV22" s="5">
        <f t="shared" si="13"/>
        <v>29426160</v>
      </c>
      <c r="AX22" s="6">
        <v>46041</v>
      </c>
      <c r="AY22" s="8">
        <v>10740520</v>
      </c>
      <c r="AZ22" s="8">
        <v>2017370</v>
      </c>
      <c r="BA22" s="8">
        <v>284100</v>
      </c>
      <c r="BB22" s="5">
        <f t="shared" si="14"/>
        <v>13041990</v>
      </c>
      <c r="BC22" s="5">
        <v>839730</v>
      </c>
      <c r="BD22" s="5">
        <v>59800</v>
      </c>
      <c r="BE22" s="8">
        <f t="shared" si="8"/>
        <v>899530</v>
      </c>
      <c r="BF22" s="5">
        <v>263380</v>
      </c>
      <c r="BG22" s="5">
        <f t="shared" si="9"/>
        <v>14204900</v>
      </c>
    </row>
    <row r="23" spans="1:59">
      <c r="A23" s="6">
        <v>43853</v>
      </c>
      <c r="B23" s="7">
        <v>876511</v>
      </c>
      <c r="C23" s="7">
        <v>592149</v>
      </c>
      <c r="D23" s="7">
        <f t="shared" si="0"/>
        <v>1468660</v>
      </c>
      <c r="F23" s="6">
        <v>44217</v>
      </c>
      <c r="G23" s="7">
        <v>10763733</v>
      </c>
      <c r="H23" s="7">
        <v>4507455</v>
      </c>
      <c r="K23" s="7">
        <f t="shared" si="1"/>
        <v>15271188</v>
      </c>
      <c r="M23" s="6">
        <v>44581</v>
      </c>
      <c r="N23" s="5">
        <v>12045220</v>
      </c>
      <c r="O23" s="5">
        <v>5127680</v>
      </c>
      <c r="P23" s="5">
        <v>1184960</v>
      </c>
      <c r="Q23" s="5">
        <f t="shared" si="2"/>
        <v>18357860</v>
      </c>
      <c r="R23" s="5">
        <v>272904</v>
      </c>
      <c r="S23" s="5">
        <f t="shared" si="3"/>
        <v>18630764</v>
      </c>
      <c r="U23" s="6">
        <v>44945</v>
      </c>
      <c r="V23" s="8">
        <v>1768804</v>
      </c>
      <c r="W23" s="8">
        <v>1286770</v>
      </c>
      <c r="X23" s="8">
        <v>0</v>
      </c>
      <c r="Y23" s="5">
        <f t="shared" si="10"/>
        <v>3055574</v>
      </c>
      <c r="Z23" s="5"/>
      <c r="AA23" s="8">
        <v>0</v>
      </c>
      <c r="AB23" s="5">
        <f t="shared" si="4"/>
        <v>3055574</v>
      </c>
      <c r="AD23" s="6">
        <v>45310</v>
      </c>
      <c r="AE23" s="8">
        <v>3029156</v>
      </c>
      <c r="AF23" s="8">
        <v>1175160</v>
      </c>
      <c r="AG23" s="8">
        <v>100730</v>
      </c>
      <c r="AH23" s="5">
        <f t="shared" si="5"/>
        <v>4305046</v>
      </c>
      <c r="AI23" s="5">
        <v>1324320</v>
      </c>
      <c r="AJ23" s="8">
        <v>0</v>
      </c>
      <c r="AK23" s="5">
        <f t="shared" si="12"/>
        <v>5629366</v>
      </c>
      <c r="AM23" s="6">
        <v>45676</v>
      </c>
      <c r="AN23" s="8">
        <v>0</v>
      </c>
      <c r="AO23" s="8">
        <v>0</v>
      </c>
      <c r="AP23" s="8">
        <v>0</v>
      </c>
      <c r="AQ23" s="5">
        <f t="shared" si="6"/>
        <v>0</v>
      </c>
      <c r="AR23" s="5">
        <v>594460</v>
      </c>
      <c r="AS23" s="5"/>
      <c r="AT23" s="8">
        <f t="shared" si="11"/>
        <v>594460</v>
      </c>
      <c r="AU23" s="5"/>
      <c r="AV23" s="5">
        <f t="shared" si="13"/>
        <v>594460</v>
      </c>
      <c r="AX23" s="6">
        <v>46042</v>
      </c>
      <c r="AY23" s="8">
        <v>7210792</v>
      </c>
      <c r="AZ23" s="8">
        <v>1345630</v>
      </c>
      <c r="BA23" s="8">
        <v>282640</v>
      </c>
      <c r="BB23" s="5">
        <f t="shared" si="14"/>
        <v>8839062</v>
      </c>
      <c r="BC23" s="5">
        <v>1624730</v>
      </c>
      <c r="BD23" s="5">
        <v>119600</v>
      </c>
      <c r="BE23" s="8">
        <f t="shared" si="8"/>
        <v>1744330</v>
      </c>
      <c r="BF23" s="5">
        <v>91000</v>
      </c>
      <c r="BG23" s="5">
        <f t="shared" si="9"/>
        <v>10674392</v>
      </c>
    </row>
    <row r="24" spans="1:59">
      <c r="A24" s="6">
        <v>43854</v>
      </c>
      <c r="B24" s="7">
        <v>932250</v>
      </c>
      <c r="C24" s="7">
        <v>563060</v>
      </c>
      <c r="D24" s="7">
        <f t="shared" si="0"/>
        <v>1495310</v>
      </c>
      <c r="F24" s="6">
        <v>44218</v>
      </c>
      <c r="G24" s="7">
        <v>8249765</v>
      </c>
      <c r="H24" s="7">
        <v>4632140</v>
      </c>
      <c r="K24" s="7">
        <f t="shared" si="1"/>
        <v>12881905</v>
      </c>
      <c r="M24" s="6">
        <v>44582</v>
      </c>
      <c r="N24" s="5">
        <v>5953680</v>
      </c>
      <c r="O24" s="5">
        <v>2910820</v>
      </c>
      <c r="P24" s="5">
        <v>644030</v>
      </c>
      <c r="Q24" s="5">
        <f t="shared" si="2"/>
        <v>9508530</v>
      </c>
      <c r="R24" s="5">
        <v>226000</v>
      </c>
      <c r="S24" s="5">
        <f t="shared" si="3"/>
        <v>9734530</v>
      </c>
      <c r="U24" s="6">
        <v>44946</v>
      </c>
      <c r="V24" s="8">
        <v>1115708</v>
      </c>
      <c r="W24" s="8">
        <v>1061030</v>
      </c>
      <c r="X24" s="8">
        <v>0</v>
      </c>
      <c r="Y24" s="5">
        <f t="shared" si="10"/>
        <v>2176738</v>
      </c>
      <c r="Z24" s="5"/>
      <c r="AA24" s="8">
        <v>0</v>
      </c>
      <c r="AB24" s="5">
        <f t="shared" si="4"/>
        <v>2176738</v>
      </c>
      <c r="AD24" s="6">
        <v>45311</v>
      </c>
      <c r="AE24" s="8">
        <v>2579233</v>
      </c>
      <c r="AF24" s="8">
        <v>718100</v>
      </c>
      <c r="AG24" s="8">
        <v>39220</v>
      </c>
      <c r="AH24" s="5">
        <f t="shared" si="5"/>
        <v>3336553</v>
      </c>
      <c r="AI24" s="5">
        <v>522260</v>
      </c>
      <c r="AJ24" s="8">
        <v>0</v>
      </c>
      <c r="AK24" s="5">
        <f t="shared" si="12"/>
        <v>3858813</v>
      </c>
      <c r="AM24" s="6">
        <v>45677</v>
      </c>
      <c r="AN24" s="8">
        <v>18945924</v>
      </c>
      <c r="AO24" s="8">
        <v>0</v>
      </c>
      <c r="AP24" s="8">
        <v>924890</v>
      </c>
      <c r="AQ24" s="5">
        <f t="shared" si="6"/>
        <v>19870814</v>
      </c>
      <c r="AR24" s="5">
        <v>703792</v>
      </c>
      <c r="AS24" s="5"/>
      <c r="AT24" s="8">
        <f t="shared" si="11"/>
        <v>703792</v>
      </c>
      <c r="AU24" s="5"/>
      <c r="AV24" s="5">
        <f t="shared" si="13"/>
        <v>20574606</v>
      </c>
      <c r="AX24" s="6">
        <v>46043</v>
      </c>
      <c r="AY24" s="8">
        <v>7262270</v>
      </c>
      <c r="AZ24" s="8">
        <v>1135510</v>
      </c>
      <c r="BA24" s="8">
        <v>182620</v>
      </c>
      <c r="BB24" s="5">
        <f t="shared" si="14"/>
        <v>8580400</v>
      </c>
      <c r="BC24" s="5">
        <v>1692420</v>
      </c>
      <c r="BD24" s="5">
        <v>157500</v>
      </c>
      <c r="BE24" s="8">
        <f t="shared" si="8"/>
        <v>1849920</v>
      </c>
      <c r="BF24" s="5">
        <v>202390</v>
      </c>
      <c r="BG24" s="5">
        <f t="shared" si="9"/>
        <v>10632710</v>
      </c>
    </row>
    <row r="25" spans="1:59">
      <c r="A25" s="6">
        <v>43855</v>
      </c>
      <c r="B25" s="7">
        <v>3349239</v>
      </c>
      <c r="C25" s="7">
        <v>1477796</v>
      </c>
      <c r="D25" s="7">
        <f t="shared" si="0"/>
        <v>4827035</v>
      </c>
      <c r="F25" s="6">
        <v>44219</v>
      </c>
      <c r="G25" s="7">
        <v>1740270</v>
      </c>
      <c r="H25" s="7">
        <v>1024050</v>
      </c>
      <c r="K25" s="7">
        <f t="shared" si="1"/>
        <v>2764320</v>
      </c>
      <c r="M25" s="6">
        <v>44583</v>
      </c>
      <c r="N25" s="5">
        <v>3098745</v>
      </c>
      <c r="O25" s="5">
        <v>1029700</v>
      </c>
      <c r="P25" s="5">
        <v>553950</v>
      </c>
      <c r="Q25" s="5">
        <f t="shared" si="2"/>
        <v>4682395</v>
      </c>
      <c r="R25" s="5">
        <v>180569</v>
      </c>
      <c r="S25" s="5">
        <f t="shared" si="3"/>
        <v>4862964</v>
      </c>
      <c r="U25" s="6">
        <v>44947</v>
      </c>
      <c r="V25" s="8">
        <v>1071894</v>
      </c>
      <c r="W25" s="8">
        <v>626000</v>
      </c>
      <c r="X25" s="8">
        <v>109260</v>
      </c>
      <c r="Y25" s="5">
        <f t="shared" si="10"/>
        <v>1807154</v>
      </c>
      <c r="Z25" s="5"/>
      <c r="AA25" s="8">
        <v>28310</v>
      </c>
      <c r="AB25" s="5">
        <f t="shared" si="4"/>
        <v>1835464</v>
      </c>
      <c r="AD25" s="6">
        <v>45312</v>
      </c>
      <c r="AE25" s="8">
        <v>2320677</v>
      </c>
      <c r="AF25" s="8">
        <v>1033400</v>
      </c>
      <c r="AG25" s="8">
        <v>122650</v>
      </c>
      <c r="AH25" s="5">
        <f t="shared" si="5"/>
        <v>3476727</v>
      </c>
      <c r="AI25" s="5">
        <v>1136880</v>
      </c>
      <c r="AJ25" s="8">
        <v>11500</v>
      </c>
      <c r="AK25" s="5">
        <f t="shared" si="12"/>
        <v>4625107</v>
      </c>
      <c r="AM25" s="6">
        <v>45678</v>
      </c>
      <c r="AN25" s="8">
        <v>18784724</v>
      </c>
      <c r="AO25" s="8">
        <v>0</v>
      </c>
      <c r="AP25" s="8">
        <v>526520</v>
      </c>
      <c r="AQ25" s="5">
        <f t="shared" si="6"/>
        <v>19311244</v>
      </c>
      <c r="AR25" s="5">
        <v>466220</v>
      </c>
      <c r="AS25" s="5"/>
      <c r="AT25" s="8">
        <f t="shared" si="11"/>
        <v>466220</v>
      </c>
      <c r="AU25" s="5"/>
      <c r="AV25" s="5">
        <f t="shared" si="13"/>
        <v>19777464</v>
      </c>
      <c r="AX25" s="6">
        <v>46044</v>
      </c>
      <c r="AY25" s="8">
        <v>6307050</v>
      </c>
      <c r="AZ25" s="8">
        <v>1380110</v>
      </c>
      <c r="BA25" s="8">
        <v>119200</v>
      </c>
      <c r="BB25" s="5">
        <f t="shared" si="14"/>
        <v>7806360</v>
      </c>
      <c r="BC25" s="5">
        <v>1123090</v>
      </c>
      <c r="BD25" s="5">
        <v>209480</v>
      </c>
      <c r="BE25" s="8">
        <f t="shared" si="8"/>
        <v>1332570</v>
      </c>
      <c r="BF25" s="5">
        <v>128360</v>
      </c>
      <c r="BG25" s="5">
        <f t="shared" si="9"/>
        <v>9267290</v>
      </c>
    </row>
    <row r="26" spans="1:59">
      <c r="A26" s="6">
        <v>43856</v>
      </c>
      <c r="B26" s="7">
        <v>3094162</v>
      </c>
      <c r="C26" s="7">
        <v>1390440</v>
      </c>
      <c r="D26" s="7">
        <f t="shared" si="0"/>
        <v>4484602</v>
      </c>
      <c r="F26" s="6">
        <v>44220</v>
      </c>
      <c r="G26" s="7">
        <v>1812570</v>
      </c>
      <c r="H26" s="7">
        <v>1384920</v>
      </c>
      <c r="K26" s="7">
        <f t="shared" si="1"/>
        <v>3197490</v>
      </c>
      <c r="M26" s="6">
        <v>44584</v>
      </c>
      <c r="N26" s="5">
        <v>6145172</v>
      </c>
      <c r="O26" s="5">
        <v>2120230</v>
      </c>
      <c r="P26" s="5">
        <v>633100</v>
      </c>
      <c r="Q26" s="5">
        <f t="shared" si="2"/>
        <v>8898502</v>
      </c>
      <c r="R26" s="5">
        <v>409554</v>
      </c>
      <c r="S26" s="5">
        <f t="shared" si="3"/>
        <v>9308056</v>
      </c>
      <c r="U26" s="6">
        <v>44948</v>
      </c>
      <c r="V26" s="8">
        <v>1377279</v>
      </c>
      <c r="W26" s="8">
        <v>478380</v>
      </c>
      <c r="X26" s="8">
        <v>141030</v>
      </c>
      <c r="Y26" s="5">
        <f t="shared" si="10"/>
        <v>1996689</v>
      </c>
      <c r="Z26" s="5"/>
      <c r="AA26" s="8">
        <v>14900</v>
      </c>
      <c r="AB26" s="5">
        <f t="shared" si="4"/>
        <v>2011589</v>
      </c>
      <c r="AD26" s="6">
        <v>45313</v>
      </c>
      <c r="AE26" s="8">
        <v>7232314</v>
      </c>
      <c r="AF26" s="8">
        <v>1764060</v>
      </c>
      <c r="AG26" s="8">
        <v>214950</v>
      </c>
      <c r="AH26" s="5">
        <f t="shared" si="5"/>
        <v>9211324</v>
      </c>
      <c r="AI26" s="5">
        <v>1969840</v>
      </c>
      <c r="AJ26" s="8">
        <v>20400</v>
      </c>
      <c r="AK26" s="5">
        <f t="shared" si="12"/>
        <v>11201564</v>
      </c>
      <c r="AM26" s="6">
        <v>45679</v>
      </c>
      <c r="AN26" s="8">
        <v>5886410</v>
      </c>
      <c r="AO26" s="8">
        <v>0</v>
      </c>
      <c r="AP26" s="8">
        <v>346090</v>
      </c>
      <c r="AQ26" s="5">
        <f t="shared" si="6"/>
        <v>6232500</v>
      </c>
      <c r="AR26" s="5">
        <v>1064870</v>
      </c>
      <c r="AS26" s="5"/>
      <c r="AT26" s="8">
        <f t="shared" si="11"/>
        <v>1064870</v>
      </c>
      <c r="AU26" s="5"/>
      <c r="AV26" s="5">
        <f t="shared" si="13"/>
        <v>7297370</v>
      </c>
      <c r="AX26" s="6">
        <v>46045</v>
      </c>
      <c r="AY26" s="8">
        <v>3664710</v>
      </c>
      <c r="AZ26" s="8">
        <v>815610</v>
      </c>
      <c r="BA26" s="8">
        <v>351610</v>
      </c>
      <c r="BB26" s="5">
        <f t="shared" si="14"/>
        <v>4831930</v>
      </c>
      <c r="BC26" s="5">
        <v>1628900</v>
      </c>
      <c r="BD26" s="5">
        <v>187400</v>
      </c>
      <c r="BE26" s="8">
        <f t="shared" si="8"/>
        <v>1816300</v>
      </c>
      <c r="BF26" s="5">
        <v>194500</v>
      </c>
      <c r="BG26" s="5">
        <f t="shared" si="9"/>
        <v>6842730</v>
      </c>
    </row>
    <row r="27" spans="1:59">
      <c r="A27" s="6">
        <v>43857</v>
      </c>
      <c r="B27" s="7">
        <v>6167790</v>
      </c>
      <c r="C27" s="7">
        <v>3725900</v>
      </c>
      <c r="D27" s="7">
        <f t="shared" si="0"/>
        <v>9893690</v>
      </c>
      <c r="F27" s="6">
        <v>44221</v>
      </c>
      <c r="G27" s="7">
        <v>6824093</v>
      </c>
      <c r="H27" s="7">
        <v>2767450</v>
      </c>
      <c r="K27" s="7">
        <f t="shared" si="1"/>
        <v>9591543</v>
      </c>
      <c r="M27" s="6">
        <v>44585</v>
      </c>
      <c r="N27" s="5">
        <v>6368728</v>
      </c>
      <c r="O27" s="5">
        <v>2411390</v>
      </c>
      <c r="P27" s="5">
        <v>762510</v>
      </c>
      <c r="Q27" s="5">
        <f t="shared" si="2"/>
        <v>9542628</v>
      </c>
      <c r="R27" s="5">
        <v>250300</v>
      </c>
      <c r="S27" s="5">
        <f t="shared" si="3"/>
        <v>9792928</v>
      </c>
      <c r="U27" s="6">
        <v>44949</v>
      </c>
      <c r="V27" s="8">
        <v>1894388</v>
      </c>
      <c r="W27" s="8">
        <v>743040</v>
      </c>
      <c r="X27" s="8">
        <v>212630</v>
      </c>
      <c r="Y27" s="5">
        <f t="shared" si="10"/>
        <v>2850058</v>
      </c>
      <c r="Z27" s="5"/>
      <c r="AA27" s="8">
        <v>0</v>
      </c>
      <c r="AB27" s="5">
        <f t="shared" si="4"/>
        <v>2850058</v>
      </c>
      <c r="AD27" s="6">
        <v>45314</v>
      </c>
      <c r="AE27" s="8">
        <v>13247918</v>
      </c>
      <c r="AF27" s="8">
        <v>3076870</v>
      </c>
      <c r="AG27" s="8">
        <v>164550</v>
      </c>
      <c r="AH27" s="5">
        <f t="shared" si="5"/>
        <v>16489338</v>
      </c>
      <c r="AI27" s="5">
        <v>1549220</v>
      </c>
      <c r="AJ27" s="8">
        <v>0</v>
      </c>
      <c r="AK27" s="5">
        <f t="shared" si="12"/>
        <v>18038558</v>
      </c>
      <c r="AM27" s="6">
        <v>45680</v>
      </c>
      <c r="AN27" s="8">
        <v>7880808</v>
      </c>
      <c r="AO27" s="8">
        <v>0</v>
      </c>
      <c r="AP27" s="8">
        <v>108640</v>
      </c>
      <c r="AQ27" s="5">
        <f t="shared" si="6"/>
        <v>7989448</v>
      </c>
      <c r="AR27" s="5">
        <v>997550</v>
      </c>
      <c r="AS27" s="5"/>
      <c r="AT27" s="8">
        <f t="shared" si="11"/>
        <v>997550</v>
      </c>
      <c r="AU27" s="5"/>
      <c r="AV27" s="5">
        <f t="shared" si="13"/>
        <v>8986998</v>
      </c>
      <c r="AX27" s="6">
        <v>46046</v>
      </c>
      <c r="AY27" s="8">
        <v>3084840</v>
      </c>
      <c r="AZ27" s="8">
        <v>623990</v>
      </c>
      <c r="BA27" s="8">
        <v>82560</v>
      </c>
      <c r="BB27" s="5">
        <f t="shared" si="14"/>
        <v>3791390</v>
      </c>
      <c r="BC27" s="5">
        <v>1501980</v>
      </c>
      <c r="BD27" s="5">
        <v>59800</v>
      </c>
      <c r="BE27" s="8">
        <f t="shared" si="8"/>
        <v>1561780</v>
      </c>
      <c r="BF27" s="5">
        <v>41000</v>
      </c>
      <c r="BG27" s="5">
        <f t="shared" si="9"/>
        <v>5394170</v>
      </c>
    </row>
    <row r="28" spans="1:59">
      <c r="A28" s="6">
        <v>43858</v>
      </c>
      <c r="B28" s="7">
        <v>2845446</v>
      </c>
      <c r="C28" s="7">
        <v>2697140</v>
      </c>
      <c r="D28" s="7">
        <f t="shared" si="0"/>
        <v>5542586</v>
      </c>
      <c r="F28" s="6">
        <v>44222</v>
      </c>
      <c r="G28" s="7">
        <v>9815162</v>
      </c>
      <c r="H28" s="7">
        <v>3114280</v>
      </c>
      <c r="K28" s="7">
        <f t="shared" si="1"/>
        <v>12929442</v>
      </c>
      <c r="M28" s="6">
        <v>44586</v>
      </c>
      <c r="N28" s="5">
        <v>11477352</v>
      </c>
      <c r="O28" s="5">
        <v>3848536</v>
      </c>
      <c r="P28" s="5">
        <v>167730</v>
      </c>
      <c r="Q28" s="5">
        <f t="shared" si="2"/>
        <v>15493618</v>
      </c>
      <c r="R28" s="5">
        <v>108745</v>
      </c>
      <c r="S28" s="5">
        <f t="shared" si="3"/>
        <v>15602363</v>
      </c>
      <c r="U28" s="6">
        <v>44950</v>
      </c>
      <c r="V28" s="8">
        <v>2810883</v>
      </c>
      <c r="W28" s="8">
        <v>1569700</v>
      </c>
      <c r="X28" s="8">
        <v>108580</v>
      </c>
      <c r="Y28" s="5">
        <f t="shared" si="10"/>
        <v>4489163</v>
      </c>
      <c r="Z28" s="5"/>
      <c r="AA28" s="8">
        <v>13900</v>
      </c>
      <c r="AB28" s="5">
        <f t="shared" si="4"/>
        <v>4503063</v>
      </c>
      <c r="AD28" s="6">
        <v>45315</v>
      </c>
      <c r="AE28" s="8">
        <v>9918717</v>
      </c>
      <c r="AF28" s="8">
        <v>2499180</v>
      </c>
      <c r="AG28" s="8">
        <v>197840</v>
      </c>
      <c r="AH28" s="5">
        <f t="shared" si="5"/>
        <v>12615737</v>
      </c>
      <c r="AI28" s="5">
        <v>1269360</v>
      </c>
      <c r="AJ28" s="8">
        <v>16500</v>
      </c>
      <c r="AK28" s="5">
        <f t="shared" si="12"/>
        <v>13901597</v>
      </c>
      <c r="AM28" s="6">
        <v>45681</v>
      </c>
      <c r="AN28" s="8">
        <v>5080697</v>
      </c>
      <c r="AO28" s="8">
        <v>0</v>
      </c>
      <c r="AP28" s="8">
        <v>60460</v>
      </c>
      <c r="AQ28" s="5">
        <f t="shared" si="6"/>
        <v>5141157</v>
      </c>
      <c r="AR28" s="5">
        <v>494010</v>
      </c>
      <c r="AS28" s="5"/>
      <c r="AT28" s="8">
        <f t="shared" si="11"/>
        <v>494010</v>
      </c>
      <c r="AU28" s="5"/>
      <c r="AV28" s="5">
        <f t="shared" si="13"/>
        <v>5635167</v>
      </c>
      <c r="AX28" s="6">
        <v>46047</v>
      </c>
      <c r="AY28" s="8">
        <v>3379270</v>
      </c>
      <c r="AZ28" s="8">
        <v>795190</v>
      </c>
      <c r="BA28" s="8">
        <v>377190</v>
      </c>
      <c r="BB28" s="5">
        <f t="shared" si="14"/>
        <v>4551650</v>
      </c>
      <c r="BC28" s="5">
        <v>1198610</v>
      </c>
      <c r="BD28" s="5">
        <v>119600</v>
      </c>
      <c r="BE28" s="8">
        <f t="shared" si="8"/>
        <v>1318210</v>
      </c>
      <c r="BF28" s="5">
        <v>112500</v>
      </c>
      <c r="BG28" s="5">
        <f t="shared" si="9"/>
        <v>5982360</v>
      </c>
    </row>
    <row r="29" spans="1:59">
      <c r="A29" s="6">
        <v>43859</v>
      </c>
      <c r="B29" s="7">
        <v>4928386</v>
      </c>
      <c r="C29" s="7">
        <v>3528110</v>
      </c>
      <c r="D29" s="7">
        <f t="shared" si="0"/>
        <v>8456496</v>
      </c>
      <c r="F29" s="6">
        <v>44223</v>
      </c>
      <c r="G29" s="7">
        <v>7653406</v>
      </c>
      <c r="H29" s="7">
        <v>3531910</v>
      </c>
      <c r="K29" s="7">
        <f t="shared" si="1"/>
        <v>11185316</v>
      </c>
      <c r="M29" s="6">
        <v>44587</v>
      </c>
      <c r="N29" s="5">
        <v>12598455</v>
      </c>
      <c r="O29" s="5">
        <v>4137800</v>
      </c>
      <c r="P29" s="5">
        <v>960950</v>
      </c>
      <c r="Q29" s="5">
        <f t="shared" si="2"/>
        <v>17697205</v>
      </c>
      <c r="R29" s="5">
        <v>177462</v>
      </c>
      <c r="S29" s="5">
        <f t="shared" si="3"/>
        <v>17874667</v>
      </c>
      <c r="U29" s="6">
        <v>44951</v>
      </c>
      <c r="V29" s="8">
        <v>11372545</v>
      </c>
      <c r="W29" s="8">
        <v>4046360</v>
      </c>
      <c r="X29" s="8">
        <v>173600</v>
      </c>
      <c r="Y29" s="5">
        <f t="shared" si="10"/>
        <v>15592505</v>
      </c>
      <c r="Z29" s="5"/>
      <c r="AA29" s="8">
        <v>156040</v>
      </c>
      <c r="AB29" s="5">
        <f t="shared" si="4"/>
        <v>15748545</v>
      </c>
      <c r="AD29" s="6">
        <v>45316</v>
      </c>
      <c r="AE29" s="8">
        <v>10057986</v>
      </c>
      <c r="AF29" s="8">
        <v>2500160</v>
      </c>
      <c r="AG29" s="8">
        <v>128350</v>
      </c>
      <c r="AH29" s="5">
        <f t="shared" si="5"/>
        <v>12686496</v>
      </c>
      <c r="AI29" s="5">
        <v>1427400</v>
      </c>
      <c r="AJ29" s="8">
        <v>0</v>
      </c>
      <c r="AK29" s="5">
        <f t="shared" si="12"/>
        <v>14113896</v>
      </c>
      <c r="AM29" s="6">
        <v>45682</v>
      </c>
      <c r="AN29" s="8">
        <v>2988297</v>
      </c>
      <c r="AO29" s="8">
        <v>0</v>
      </c>
      <c r="AP29" s="8">
        <v>0</v>
      </c>
      <c r="AQ29" s="5">
        <f t="shared" si="6"/>
        <v>2988297</v>
      </c>
      <c r="AR29" s="5">
        <v>449930</v>
      </c>
      <c r="AS29" s="5"/>
      <c r="AT29" s="8">
        <f t="shared" si="11"/>
        <v>449930</v>
      </c>
      <c r="AU29" s="5"/>
      <c r="AV29" s="5">
        <f t="shared" si="13"/>
        <v>3438227</v>
      </c>
      <c r="AX29" s="6">
        <v>46048</v>
      </c>
      <c r="AY29" s="8">
        <v>5956110</v>
      </c>
      <c r="AZ29" s="8">
        <v>1462320</v>
      </c>
      <c r="BA29" s="8">
        <v>348940</v>
      </c>
      <c r="BB29" s="5">
        <f t="shared" si="14"/>
        <v>7767370</v>
      </c>
      <c r="BC29" s="5">
        <v>1253950</v>
      </c>
      <c r="BD29" s="5">
        <v>228480</v>
      </c>
      <c r="BE29" s="8">
        <f t="shared" si="8"/>
        <v>1482430</v>
      </c>
      <c r="BF29" s="5">
        <v>62500</v>
      </c>
      <c r="BG29" s="5">
        <f t="shared" si="9"/>
        <v>9312300</v>
      </c>
    </row>
    <row r="30" spans="1:59">
      <c r="A30" s="6">
        <v>43860</v>
      </c>
      <c r="B30" s="7">
        <v>4370035</v>
      </c>
      <c r="C30" s="7">
        <v>2470960</v>
      </c>
      <c r="D30" s="7">
        <f t="shared" si="0"/>
        <v>6840995</v>
      </c>
      <c r="F30" s="6">
        <v>44224</v>
      </c>
      <c r="G30" s="7">
        <v>8471836</v>
      </c>
      <c r="H30" s="7">
        <v>2875160</v>
      </c>
      <c r="K30" s="7">
        <f t="shared" si="1"/>
        <v>11346996</v>
      </c>
      <c r="M30" s="6">
        <v>44588</v>
      </c>
      <c r="N30" s="5">
        <v>5091517</v>
      </c>
      <c r="O30" s="5">
        <v>1383230</v>
      </c>
      <c r="P30" s="5">
        <v>299800</v>
      </c>
      <c r="Q30" s="5">
        <f t="shared" si="2"/>
        <v>6774547</v>
      </c>
      <c r="R30" s="5">
        <v>95800</v>
      </c>
      <c r="S30" s="5">
        <f t="shared" si="3"/>
        <v>6870347</v>
      </c>
      <c r="U30" s="6">
        <v>44952</v>
      </c>
      <c r="V30" s="8">
        <v>7294595</v>
      </c>
      <c r="W30" s="8">
        <v>2498800</v>
      </c>
      <c r="X30" s="8">
        <v>237380</v>
      </c>
      <c r="Y30" s="5">
        <f t="shared" si="10"/>
        <v>10030775</v>
      </c>
      <c r="Z30" s="5"/>
      <c r="AA30" s="8">
        <v>29800</v>
      </c>
      <c r="AB30" s="5">
        <f t="shared" si="4"/>
        <v>10060575</v>
      </c>
      <c r="AD30" s="6">
        <v>45317</v>
      </c>
      <c r="AE30" s="8">
        <v>5265043</v>
      </c>
      <c r="AF30" s="8">
        <v>1930940</v>
      </c>
      <c r="AG30" s="8">
        <v>96920</v>
      </c>
      <c r="AH30" s="5">
        <f t="shared" si="5"/>
        <v>7292903</v>
      </c>
      <c r="AI30" s="5">
        <v>820980</v>
      </c>
      <c r="AJ30" s="8">
        <v>0</v>
      </c>
      <c r="AK30" s="5">
        <f t="shared" si="12"/>
        <v>8113883</v>
      </c>
      <c r="AM30" s="6">
        <v>45683</v>
      </c>
      <c r="AN30" s="8">
        <v>2741462</v>
      </c>
      <c r="AO30" s="8">
        <v>0</v>
      </c>
      <c r="AP30" s="8">
        <v>23180</v>
      </c>
      <c r="AQ30" s="5">
        <f t="shared" si="6"/>
        <v>2764642</v>
      </c>
      <c r="AR30" s="5">
        <v>554670</v>
      </c>
      <c r="AS30" s="5"/>
      <c r="AT30" s="8">
        <f t="shared" si="11"/>
        <v>554670</v>
      </c>
      <c r="AU30" s="5"/>
      <c r="AV30" s="5">
        <f t="shared" si="13"/>
        <v>3319312</v>
      </c>
      <c r="AX30" s="6">
        <v>46049</v>
      </c>
      <c r="AY30" s="8">
        <v>6544740</v>
      </c>
      <c r="AZ30" s="8">
        <v>858740</v>
      </c>
      <c r="BA30" s="8">
        <v>275370</v>
      </c>
      <c r="BB30" s="5">
        <f t="shared" si="14"/>
        <v>7678850</v>
      </c>
      <c r="BC30" s="5">
        <v>1080190</v>
      </c>
      <c r="BD30" s="5">
        <v>149680</v>
      </c>
      <c r="BE30" s="8">
        <f t="shared" si="8"/>
        <v>1229870</v>
      </c>
      <c r="BF30" s="5">
        <v>194010</v>
      </c>
      <c r="BG30" s="5">
        <f t="shared" si="9"/>
        <v>9102730</v>
      </c>
    </row>
    <row r="31" spans="1:59">
      <c r="A31" s="6">
        <v>43861</v>
      </c>
      <c r="B31" s="7">
        <v>4173782</v>
      </c>
      <c r="C31" s="7">
        <v>2877810</v>
      </c>
      <c r="D31" s="7">
        <f t="shared" si="0"/>
        <v>7051592</v>
      </c>
      <c r="F31" s="6">
        <v>44225</v>
      </c>
      <c r="G31" s="7">
        <v>6347576</v>
      </c>
      <c r="H31" s="7">
        <v>3807540</v>
      </c>
      <c r="K31" s="7">
        <f t="shared" si="1"/>
        <v>10155116</v>
      </c>
      <c r="M31" s="6">
        <v>44589</v>
      </c>
      <c r="N31" s="5">
        <v>1855241</v>
      </c>
      <c r="O31" s="5">
        <v>858540</v>
      </c>
      <c r="P31" s="5">
        <v>391020</v>
      </c>
      <c r="Q31" s="5">
        <f t="shared" si="2"/>
        <v>3104801</v>
      </c>
      <c r="R31" s="5">
        <v>136644</v>
      </c>
      <c r="S31" s="5">
        <f t="shared" si="3"/>
        <v>3241445</v>
      </c>
      <c r="U31" s="6">
        <v>44953</v>
      </c>
      <c r="V31" s="8">
        <v>7529019</v>
      </c>
      <c r="W31" s="8">
        <v>1942430</v>
      </c>
      <c r="X31" s="8">
        <v>132910</v>
      </c>
      <c r="Y31" s="5">
        <f t="shared" si="10"/>
        <v>9604359</v>
      </c>
      <c r="Z31" s="5"/>
      <c r="AA31" s="8">
        <v>41310</v>
      </c>
      <c r="AB31" s="5">
        <f t="shared" si="4"/>
        <v>9645669</v>
      </c>
      <c r="AD31" s="6">
        <v>45318</v>
      </c>
      <c r="AE31" s="8">
        <v>3596048</v>
      </c>
      <c r="AF31" s="8">
        <v>3596048</v>
      </c>
      <c r="AG31" s="8">
        <v>131410</v>
      </c>
      <c r="AH31" s="5">
        <f t="shared" si="5"/>
        <v>7323506</v>
      </c>
      <c r="AI31" s="5">
        <v>793340</v>
      </c>
      <c r="AJ31" s="8">
        <v>20400</v>
      </c>
      <c r="AK31" s="5">
        <f t="shared" si="12"/>
        <v>8137246</v>
      </c>
      <c r="AM31" s="6">
        <v>45684</v>
      </c>
      <c r="AN31" s="8">
        <v>3416842</v>
      </c>
      <c r="AO31" s="8">
        <v>0</v>
      </c>
      <c r="AP31" s="8">
        <v>50900</v>
      </c>
      <c r="AQ31" s="5">
        <f t="shared" si="6"/>
        <v>3467742</v>
      </c>
      <c r="AR31" s="5">
        <v>318650</v>
      </c>
      <c r="AS31" s="5"/>
      <c r="AT31" s="8">
        <f t="shared" si="11"/>
        <v>318650</v>
      </c>
      <c r="AU31" s="5"/>
      <c r="AV31" s="5">
        <f t="shared" si="13"/>
        <v>3786392</v>
      </c>
      <c r="AX31" s="6">
        <v>46050</v>
      </c>
      <c r="AY31" s="8">
        <v>9099880</v>
      </c>
      <c r="AZ31" s="8">
        <v>1614910</v>
      </c>
      <c r="BA31" s="8">
        <v>145100</v>
      </c>
      <c r="BB31" s="5">
        <f t="shared" si="14"/>
        <v>10859890</v>
      </c>
      <c r="BC31" s="5">
        <v>1728960</v>
      </c>
      <c r="BD31" s="5">
        <v>119300</v>
      </c>
      <c r="BE31" s="8">
        <f t="shared" si="8"/>
        <v>1848260</v>
      </c>
      <c r="BF31" s="5">
        <v>161840</v>
      </c>
      <c r="BG31" s="5">
        <f t="shared" si="9"/>
        <v>12869990</v>
      </c>
    </row>
    <row r="32" spans="1:59">
      <c r="A32" s="6">
        <v>43862</v>
      </c>
      <c r="B32" s="8">
        <v>2184423</v>
      </c>
      <c r="C32" s="8">
        <v>1417280</v>
      </c>
      <c r="D32" s="7">
        <f t="shared" si="0"/>
        <v>3601703</v>
      </c>
      <c r="F32" s="6">
        <v>44226</v>
      </c>
      <c r="G32" s="7">
        <v>3178483</v>
      </c>
      <c r="H32" s="7">
        <v>2126350</v>
      </c>
      <c r="K32" s="7">
        <f t="shared" si="1"/>
        <v>5304833</v>
      </c>
      <c r="M32" s="6">
        <v>44590</v>
      </c>
      <c r="N32" s="5">
        <v>1197016</v>
      </c>
      <c r="O32" s="5">
        <v>333870</v>
      </c>
      <c r="P32" s="5">
        <v>140540</v>
      </c>
      <c r="Q32" s="5">
        <f t="shared" si="2"/>
        <v>1671426</v>
      </c>
      <c r="R32" s="5">
        <v>27000</v>
      </c>
      <c r="S32" s="5">
        <f t="shared" si="3"/>
        <v>1698426</v>
      </c>
      <c r="U32" s="6">
        <v>44954</v>
      </c>
      <c r="V32" s="8">
        <v>2196646</v>
      </c>
      <c r="W32" s="8">
        <v>574630</v>
      </c>
      <c r="X32" s="8">
        <v>105950</v>
      </c>
      <c r="Y32" s="5">
        <f t="shared" si="10"/>
        <v>2877226</v>
      </c>
      <c r="Z32" s="5"/>
      <c r="AA32" s="8">
        <v>26410</v>
      </c>
      <c r="AB32" s="5">
        <f t="shared" si="4"/>
        <v>2903636</v>
      </c>
      <c r="AD32" s="6">
        <v>45319</v>
      </c>
      <c r="AE32" s="8">
        <v>7995488</v>
      </c>
      <c r="AF32" s="8">
        <v>4487030</v>
      </c>
      <c r="AG32" s="8">
        <v>147220</v>
      </c>
      <c r="AH32" s="5">
        <f t="shared" si="5"/>
        <v>12629738</v>
      </c>
      <c r="AI32" s="5">
        <v>1215880</v>
      </c>
      <c r="AJ32" s="8"/>
      <c r="AK32" s="5">
        <f t="shared" si="12"/>
        <v>13845618</v>
      </c>
      <c r="AM32" s="6">
        <v>45685</v>
      </c>
      <c r="AN32" s="8">
        <v>3806723</v>
      </c>
      <c r="AO32" s="8">
        <v>0</v>
      </c>
      <c r="AP32" s="8">
        <v>149880</v>
      </c>
      <c r="AQ32" s="5">
        <f t="shared" si="6"/>
        <v>3956603</v>
      </c>
      <c r="AR32" s="5">
        <v>351770</v>
      </c>
      <c r="AS32" s="5"/>
      <c r="AT32" s="8">
        <f t="shared" si="11"/>
        <v>351770</v>
      </c>
      <c r="AU32" s="5"/>
      <c r="AV32" s="5">
        <f t="shared" si="13"/>
        <v>4308373</v>
      </c>
      <c r="AX32" s="6">
        <v>46051</v>
      </c>
      <c r="AY32" s="8">
        <v>7494390</v>
      </c>
      <c r="AZ32" s="8">
        <v>1848630</v>
      </c>
      <c r="BA32" s="8">
        <v>138530</v>
      </c>
      <c r="BB32" s="5">
        <f t="shared" si="14"/>
        <v>9481550</v>
      </c>
      <c r="BC32" s="5">
        <v>652500</v>
      </c>
      <c r="BD32" s="5">
        <v>106000</v>
      </c>
      <c r="BE32" s="8">
        <f t="shared" si="8"/>
        <v>758500</v>
      </c>
      <c r="BF32" s="5">
        <v>112500</v>
      </c>
      <c r="BG32" s="5">
        <f t="shared" si="9"/>
        <v>10352550</v>
      </c>
    </row>
    <row r="33" spans="1:59">
      <c r="A33" s="6">
        <v>43863</v>
      </c>
      <c r="B33" s="8">
        <v>2290281</v>
      </c>
      <c r="C33" s="8">
        <v>1229310</v>
      </c>
      <c r="D33" s="7">
        <f t="shared" si="0"/>
        <v>3519591</v>
      </c>
      <c r="F33" s="6">
        <v>44227</v>
      </c>
      <c r="G33" s="7">
        <v>2565049</v>
      </c>
      <c r="H33" s="7">
        <v>2371259</v>
      </c>
      <c r="K33" s="7">
        <f t="shared" si="1"/>
        <v>4936308</v>
      </c>
      <c r="M33" s="6">
        <v>44591</v>
      </c>
      <c r="N33" s="5">
        <v>2455341</v>
      </c>
      <c r="O33" s="5">
        <v>524670</v>
      </c>
      <c r="P33" s="5">
        <v>153920</v>
      </c>
      <c r="Q33" s="5">
        <f t="shared" si="2"/>
        <v>3133931</v>
      </c>
      <c r="R33" s="5">
        <v>269114</v>
      </c>
      <c r="S33" s="5">
        <f t="shared" si="3"/>
        <v>3403045</v>
      </c>
      <c r="U33" s="6">
        <v>44955</v>
      </c>
      <c r="V33" s="8">
        <v>4633780</v>
      </c>
      <c r="W33" s="8">
        <v>1775360</v>
      </c>
      <c r="X33" s="8">
        <v>35000</v>
      </c>
      <c r="Y33" s="5">
        <f t="shared" si="10"/>
        <v>6444140</v>
      </c>
      <c r="Z33" s="5"/>
      <c r="AA33" s="8">
        <v>14900</v>
      </c>
      <c r="AB33" s="5">
        <f t="shared" si="4"/>
        <v>6459040</v>
      </c>
      <c r="AD33" s="6">
        <v>45320</v>
      </c>
      <c r="AE33" s="8">
        <v>11646944</v>
      </c>
      <c r="AF33" s="8">
        <v>5259830</v>
      </c>
      <c r="AG33" s="8">
        <v>62310</v>
      </c>
      <c r="AH33" s="5">
        <f t="shared" si="5"/>
        <v>16969084</v>
      </c>
      <c r="AI33" s="5">
        <v>1356180</v>
      </c>
      <c r="AJ33" s="8">
        <v>35900</v>
      </c>
      <c r="AK33" s="5">
        <f t="shared" si="12"/>
        <v>18361164</v>
      </c>
      <c r="AM33" s="6">
        <v>45686</v>
      </c>
      <c r="AN33" s="8">
        <v>6741836</v>
      </c>
      <c r="AO33" s="8">
        <v>0</v>
      </c>
      <c r="AP33" s="8">
        <v>36800</v>
      </c>
      <c r="AQ33" s="5">
        <f t="shared" si="6"/>
        <v>6778636</v>
      </c>
      <c r="AR33" s="5">
        <v>1597070</v>
      </c>
      <c r="AS33" s="5"/>
      <c r="AT33" s="8">
        <f t="shared" si="11"/>
        <v>1597070</v>
      </c>
      <c r="AU33" s="5"/>
      <c r="AV33" s="5">
        <f t="shared" si="13"/>
        <v>8375706</v>
      </c>
      <c r="AX33" s="6">
        <v>46052</v>
      </c>
      <c r="AY33" s="8">
        <v>5789090</v>
      </c>
      <c r="AZ33" s="8">
        <v>1303630</v>
      </c>
      <c r="BA33" s="8">
        <v>137580</v>
      </c>
      <c r="BB33" s="5">
        <f t="shared" si="14"/>
        <v>7230300</v>
      </c>
      <c r="BC33" s="5">
        <v>839740</v>
      </c>
      <c r="BD33" s="5">
        <v>165500</v>
      </c>
      <c r="BE33" s="8">
        <f t="shared" si="8"/>
        <v>1005240</v>
      </c>
      <c r="BF33" s="5">
        <v>32500</v>
      </c>
      <c r="BG33" s="5">
        <f t="shared" si="9"/>
        <v>8268040</v>
      </c>
    </row>
    <row r="34" spans="1:59">
      <c r="A34" s="6">
        <v>43864</v>
      </c>
      <c r="B34" s="8">
        <v>5570094</v>
      </c>
      <c r="C34" s="8">
        <v>3286315</v>
      </c>
      <c r="D34" s="7">
        <f t="shared" si="0"/>
        <v>8856409</v>
      </c>
      <c r="F34" s="6">
        <v>44228</v>
      </c>
      <c r="G34" s="5">
        <v>9705714</v>
      </c>
      <c r="H34" s="5">
        <v>5536735</v>
      </c>
      <c r="K34" s="7">
        <f t="shared" si="1"/>
        <v>15242449</v>
      </c>
      <c r="M34" s="6">
        <v>44592</v>
      </c>
      <c r="N34" s="5">
        <v>6366433</v>
      </c>
      <c r="O34" s="5">
        <v>1165550</v>
      </c>
      <c r="P34" s="5">
        <v>85260</v>
      </c>
      <c r="Q34" s="5">
        <f t="shared" si="2"/>
        <v>7617243</v>
      </c>
      <c r="R34" s="5">
        <v>71754</v>
      </c>
      <c r="S34" s="5">
        <f t="shared" si="3"/>
        <v>7688997</v>
      </c>
      <c r="U34" s="6">
        <v>44956</v>
      </c>
      <c r="V34" s="8">
        <v>8867081</v>
      </c>
      <c r="W34" s="8">
        <v>3031360</v>
      </c>
      <c r="X34" s="8">
        <v>51640</v>
      </c>
      <c r="Y34" s="5">
        <f t="shared" si="10"/>
        <v>11950081</v>
      </c>
      <c r="Z34" s="5"/>
      <c r="AA34" s="8">
        <v>57110</v>
      </c>
      <c r="AB34" s="5">
        <f t="shared" si="4"/>
        <v>12007191</v>
      </c>
      <c r="AD34" s="6">
        <v>45321</v>
      </c>
      <c r="AE34" s="8">
        <v>15433813</v>
      </c>
      <c r="AF34" s="8">
        <v>5002440</v>
      </c>
      <c r="AG34" s="8">
        <v>87910</v>
      </c>
      <c r="AH34" s="5">
        <f t="shared" si="5"/>
        <v>20524163</v>
      </c>
      <c r="AI34" s="5">
        <v>1114380</v>
      </c>
      <c r="AJ34" s="8">
        <v>11500</v>
      </c>
      <c r="AK34" s="5">
        <f t="shared" si="12"/>
        <v>21650043</v>
      </c>
      <c r="AM34" s="6">
        <v>45687</v>
      </c>
      <c r="AN34" s="8">
        <v>13656527</v>
      </c>
      <c r="AO34" s="8">
        <v>0</v>
      </c>
      <c r="AP34" s="8">
        <v>196000</v>
      </c>
      <c r="AQ34" s="5">
        <f t="shared" si="6"/>
        <v>13852527</v>
      </c>
      <c r="AR34" s="5">
        <v>2220880</v>
      </c>
      <c r="AS34" s="5"/>
      <c r="AT34" s="8">
        <f t="shared" si="11"/>
        <v>2220880</v>
      </c>
      <c r="AU34" s="5"/>
      <c r="AV34" s="5">
        <f t="shared" si="13"/>
        <v>16073407</v>
      </c>
      <c r="AX34" s="6">
        <v>46053</v>
      </c>
      <c r="AY34" s="8">
        <v>1726640</v>
      </c>
      <c r="AZ34" s="8">
        <v>735780</v>
      </c>
      <c r="BA34" s="8">
        <v>262690</v>
      </c>
      <c r="BB34" s="5">
        <f t="shared" si="14"/>
        <v>2725110</v>
      </c>
      <c r="BC34" s="5">
        <v>298950</v>
      </c>
      <c r="BD34" s="5">
        <v>195400</v>
      </c>
      <c r="BE34" s="8">
        <f t="shared" si="8"/>
        <v>494350</v>
      </c>
      <c r="BF34" s="5">
        <v>41000</v>
      </c>
      <c r="BG34" s="5">
        <f t="shared" si="9"/>
        <v>3260460</v>
      </c>
    </row>
    <row r="35" spans="1:59">
      <c r="A35" s="6">
        <v>43865</v>
      </c>
      <c r="B35" s="8">
        <v>10571553</v>
      </c>
      <c r="C35" s="8">
        <v>3931120</v>
      </c>
      <c r="D35" s="7">
        <f t="shared" si="0"/>
        <v>14502673</v>
      </c>
      <c r="F35" s="6">
        <v>44229</v>
      </c>
      <c r="G35" s="5">
        <v>5564818</v>
      </c>
      <c r="H35" s="5">
        <v>4133640</v>
      </c>
      <c r="K35" s="7">
        <f t="shared" si="1"/>
        <v>9698458</v>
      </c>
      <c r="M35" s="6">
        <v>44593</v>
      </c>
      <c r="N35" s="5">
        <v>13482562</v>
      </c>
      <c r="O35" s="5">
        <v>1439095</v>
      </c>
      <c r="P35" s="5">
        <v>175470</v>
      </c>
      <c r="Q35" s="5">
        <f t="shared" si="2"/>
        <v>15097127</v>
      </c>
      <c r="R35" s="5">
        <v>65844</v>
      </c>
      <c r="S35" s="5">
        <f t="shared" si="3"/>
        <v>15162971</v>
      </c>
      <c r="U35" s="6">
        <v>44957</v>
      </c>
      <c r="V35" s="8">
        <v>14780309</v>
      </c>
      <c r="W35" s="8">
        <v>4473320</v>
      </c>
      <c r="X35" s="8">
        <v>141610</v>
      </c>
      <c r="Y35" s="5">
        <f t="shared" si="10"/>
        <v>19395239</v>
      </c>
      <c r="Z35" s="5"/>
      <c r="AA35" s="8">
        <v>28800</v>
      </c>
      <c r="AB35" s="5">
        <f t="shared" si="4"/>
        <v>19424039</v>
      </c>
      <c r="AD35" s="6">
        <v>45322</v>
      </c>
      <c r="AE35" s="8">
        <v>10766971</v>
      </c>
      <c r="AF35" s="8">
        <v>2002520</v>
      </c>
      <c r="AG35" s="8">
        <v>62300</v>
      </c>
      <c r="AH35" s="5">
        <f t="shared" si="5"/>
        <v>12831791</v>
      </c>
      <c r="AI35" s="5">
        <v>1245422</v>
      </c>
      <c r="AJ35" s="8">
        <v>0</v>
      </c>
      <c r="AK35" s="5">
        <f t="shared" si="12"/>
        <v>14077213</v>
      </c>
      <c r="AM35" s="6">
        <v>45688</v>
      </c>
      <c r="AN35" s="8">
        <v>10096714</v>
      </c>
      <c r="AO35" s="8">
        <v>0</v>
      </c>
      <c r="AP35" s="8">
        <v>266540</v>
      </c>
      <c r="AQ35" s="5">
        <f t="shared" si="6"/>
        <v>10363254</v>
      </c>
      <c r="AR35" s="5">
        <v>1309680</v>
      </c>
      <c r="AS35" s="5"/>
      <c r="AT35" s="8">
        <f t="shared" si="11"/>
        <v>1309680</v>
      </c>
      <c r="AU35" s="5"/>
      <c r="AV35" s="5">
        <f t="shared" si="13"/>
        <v>11672934</v>
      </c>
      <c r="AX35" s="6">
        <v>46054</v>
      </c>
      <c r="AY35" s="8">
        <v>2298610</v>
      </c>
      <c r="AZ35" s="8">
        <v>644180</v>
      </c>
      <c r="BA35" s="8">
        <v>585610</v>
      </c>
      <c r="BB35" s="5">
        <f t="shared" si="14"/>
        <v>3528400</v>
      </c>
      <c r="BC35" s="5">
        <v>1114860</v>
      </c>
      <c r="BD35" s="5">
        <v>255200</v>
      </c>
      <c r="BE35" s="8">
        <f t="shared" si="8"/>
        <v>1370060</v>
      </c>
      <c r="BF35" s="5">
        <v>164880</v>
      </c>
      <c r="BG35" s="5">
        <f t="shared" si="9"/>
        <v>5063340</v>
      </c>
    </row>
    <row r="36" spans="1:59">
      <c r="A36" s="6">
        <v>43866</v>
      </c>
      <c r="B36" s="8">
        <v>7639627</v>
      </c>
      <c r="C36" s="8">
        <v>2780750</v>
      </c>
      <c r="D36" s="7">
        <f t="shared" si="0"/>
        <v>10420377</v>
      </c>
      <c r="F36" s="6">
        <v>44230</v>
      </c>
      <c r="G36" s="5">
        <v>13946444</v>
      </c>
      <c r="H36" s="5">
        <v>4094000</v>
      </c>
      <c r="K36" s="7">
        <f t="shared" si="1"/>
        <v>18040444</v>
      </c>
      <c r="M36" s="6">
        <v>44594</v>
      </c>
      <c r="N36" s="5">
        <v>2358531</v>
      </c>
      <c r="O36" s="5">
        <v>1118060</v>
      </c>
      <c r="P36" s="5">
        <v>252320</v>
      </c>
      <c r="Q36" s="5">
        <f t="shared" si="2"/>
        <v>3728911</v>
      </c>
      <c r="R36" s="5">
        <v>430442</v>
      </c>
      <c r="S36" s="5">
        <f t="shared" si="3"/>
        <v>4159353</v>
      </c>
      <c r="U36" s="6">
        <v>44958</v>
      </c>
      <c r="V36" s="8">
        <v>14430795</v>
      </c>
      <c r="W36" s="8">
        <v>2966320</v>
      </c>
      <c r="X36" s="8">
        <v>164540</v>
      </c>
      <c r="Y36" s="5">
        <f t="shared" si="10"/>
        <v>17561655</v>
      </c>
      <c r="Z36" s="5"/>
      <c r="AA36" s="8">
        <v>71110</v>
      </c>
      <c r="AB36" s="5">
        <f t="shared" si="4"/>
        <v>17632765</v>
      </c>
      <c r="AD36" s="6">
        <v>45323</v>
      </c>
      <c r="AE36" s="8">
        <v>16615285</v>
      </c>
      <c r="AF36" s="8">
        <v>2595430</v>
      </c>
      <c r="AG36" s="8">
        <v>147880</v>
      </c>
      <c r="AH36" s="5">
        <f t="shared" si="5"/>
        <v>19358595</v>
      </c>
      <c r="AI36" s="5">
        <v>5300100</v>
      </c>
      <c r="AJ36" s="8">
        <v>0</v>
      </c>
      <c r="AK36" s="5">
        <f t="shared" si="12"/>
        <v>24658695</v>
      </c>
      <c r="AM36" s="6">
        <v>45689</v>
      </c>
      <c r="AN36" s="8">
        <v>4498855</v>
      </c>
      <c r="AO36" s="8">
        <v>0</v>
      </c>
      <c r="AP36" s="8">
        <v>179110</v>
      </c>
      <c r="AQ36" s="5">
        <f t="shared" si="6"/>
        <v>4677965</v>
      </c>
      <c r="AR36" s="5">
        <v>1151250</v>
      </c>
      <c r="AS36" s="5"/>
      <c r="AT36" s="8">
        <f t="shared" si="11"/>
        <v>1151250</v>
      </c>
      <c r="AU36" s="5"/>
      <c r="AV36" s="5">
        <f t="shared" si="13"/>
        <v>5829215</v>
      </c>
      <c r="AX36" s="6">
        <v>46055</v>
      </c>
      <c r="AY36" s="8">
        <v>11025570</v>
      </c>
      <c r="AZ36" s="8">
        <v>2259100</v>
      </c>
      <c r="BA36" s="8">
        <v>303770</v>
      </c>
      <c r="BB36" s="5">
        <f t="shared" si="14"/>
        <v>13588440</v>
      </c>
      <c r="BC36" s="5">
        <v>1316820</v>
      </c>
      <c r="BD36" s="5">
        <v>195580</v>
      </c>
      <c r="BE36" s="8">
        <f t="shared" si="8"/>
        <v>1512400</v>
      </c>
      <c r="BF36" s="5">
        <v>251200</v>
      </c>
      <c r="BG36" s="5">
        <f t="shared" si="9"/>
        <v>15352040</v>
      </c>
    </row>
    <row r="37" spans="1:59">
      <c r="A37" s="6">
        <v>43867</v>
      </c>
      <c r="B37" s="8">
        <v>8475626</v>
      </c>
      <c r="C37" s="8">
        <v>2733630</v>
      </c>
      <c r="D37" s="7">
        <f t="shared" si="0"/>
        <v>11209256</v>
      </c>
      <c r="F37" s="6">
        <v>44231</v>
      </c>
      <c r="G37" s="5">
        <v>14313145</v>
      </c>
      <c r="H37" s="5">
        <v>4601110</v>
      </c>
      <c r="K37" s="7">
        <f t="shared" si="1"/>
        <v>18914255</v>
      </c>
      <c r="M37" s="6">
        <v>44595</v>
      </c>
      <c r="N37" s="5">
        <v>2856459</v>
      </c>
      <c r="O37" s="5">
        <v>1407550</v>
      </c>
      <c r="P37" s="5">
        <v>586610</v>
      </c>
      <c r="Q37" s="5">
        <f t="shared" si="2"/>
        <v>4850619</v>
      </c>
      <c r="R37" s="5">
        <v>397254</v>
      </c>
      <c r="S37" s="5">
        <f t="shared" si="3"/>
        <v>5247873</v>
      </c>
      <c r="U37" s="6">
        <v>44959</v>
      </c>
      <c r="V37" s="8">
        <v>14232134</v>
      </c>
      <c r="W37" s="8">
        <v>4262270</v>
      </c>
      <c r="X37" s="8">
        <v>149480</v>
      </c>
      <c r="Y37" s="5">
        <f t="shared" si="10"/>
        <v>18643884</v>
      </c>
      <c r="Z37" s="5"/>
      <c r="AA37" s="8">
        <v>43210</v>
      </c>
      <c r="AB37" s="5">
        <f t="shared" si="4"/>
        <v>18687094</v>
      </c>
      <c r="AD37" s="6">
        <v>45324</v>
      </c>
      <c r="AE37" s="8">
        <v>30051482</v>
      </c>
      <c r="AF37" s="8">
        <v>5940330</v>
      </c>
      <c r="AG37" s="8">
        <v>74220</v>
      </c>
      <c r="AH37" s="5">
        <f t="shared" si="5"/>
        <v>36066032</v>
      </c>
      <c r="AI37" s="5">
        <v>2405440</v>
      </c>
      <c r="AJ37" s="8">
        <v>16500</v>
      </c>
      <c r="AK37" s="5">
        <f t="shared" si="12"/>
        <v>38487972</v>
      </c>
      <c r="AM37" s="6">
        <v>45690</v>
      </c>
      <c r="AN37" s="8">
        <v>3565375</v>
      </c>
      <c r="AO37" s="8">
        <v>0</v>
      </c>
      <c r="AP37" s="8">
        <v>39700</v>
      </c>
      <c r="AQ37" s="5">
        <f t="shared" si="6"/>
        <v>3605075</v>
      </c>
      <c r="AR37" s="5">
        <v>1675720</v>
      </c>
      <c r="AS37" s="5"/>
      <c r="AT37" s="8">
        <f t="shared" si="11"/>
        <v>1675720</v>
      </c>
      <c r="AU37" s="5"/>
      <c r="AV37" s="5">
        <f t="shared" si="13"/>
        <v>5280795</v>
      </c>
      <c r="AX37" s="6">
        <v>46056</v>
      </c>
      <c r="AY37" s="8">
        <v>13532360</v>
      </c>
      <c r="AZ37" s="8">
        <v>3211300</v>
      </c>
      <c r="BA37" s="8">
        <v>211900</v>
      </c>
      <c r="BB37" s="5">
        <f t="shared" si="14"/>
        <v>16955560</v>
      </c>
      <c r="BC37" s="5">
        <v>1312886</v>
      </c>
      <c r="BD37" s="5">
        <v>165500</v>
      </c>
      <c r="BE37" s="8">
        <f t="shared" si="8"/>
        <v>1478386</v>
      </c>
      <c r="BF37" s="5">
        <v>178500</v>
      </c>
      <c r="BG37" s="5">
        <f t="shared" si="9"/>
        <v>18612446</v>
      </c>
    </row>
    <row r="38" spans="1:59">
      <c r="A38" s="6">
        <v>43868</v>
      </c>
      <c r="B38" s="8">
        <v>3423688</v>
      </c>
      <c r="C38" s="8">
        <v>2046790</v>
      </c>
      <c r="D38" s="7">
        <f t="shared" si="0"/>
        <v>5470478</v>
      </c>
      <c r="F38" s="6">
        <v>44232</v>
      </c>
      <c r="G38" s="5">
        <v>1737290</v>
      </c>
      <c r="H38" s="5">
        <v>1477724</v>
      </c>
      <c r="K38" s="7">
        <f t="shared" si="1"/>
        <v>3215014</v>
      </c>
      <c r="M38" s="6">
        <v>44596</v>
      </c>
      <c r="N38" s="5">
        <v>11160702</v>
      </c>
      <c r="O38" s="5">
        <v>2627120</v>
      </c>
      <c r="P38" s="5">
        <v>342360</v>
      </c>
      <c r="Q38" s="5">
        <f t="shared" si="2"/>
        <v>14130182</v>
      </c>
      <c r="R38" s="5">
        <v>401930</v>
      </c>
      <c r="S38" s="5">
        <f t="shared" si="3"/>
        <v>14532112</v>
      </c>
      <c r="U38" s="6">
        <v>44960</v>
      </c>
      <c r="V38" s="8">
        <v>5818770</v>
      </c>
      <c r="W38" s="8">
        <v>2676390</v>
      </c>
      <c r="X38" s="8">
        <v>37640</v>
      </c>
      <c r="Y38" s="5">
        <f t="shared" si="10"/>
        <v>8532800</v>
      </c>
      <c r="Z38" s="5"/>
      <c r="AA38" s="8">
        <v>22610</v>
      </c>
      <c r="AB38" s="5">
        <f t="shared" si="4"/>
        <v>8555410</v>
      </c>
      <c r="AD38" s="6">
        <v>45325</v>
      </c>
      <c r="AE38" s="8">
        <v>3177297</v>
      </c>
      <c r="AF38" s="8">
        <v>748180</v>
      </c>
      <c r="AG38" s="8">
        <v>291060</v>
      </c>
      <c r="AH38" s="5">
        <f t="shared" si="5"/>
        <v>4216537</v>
      </c>
      <c r="AI38" s="5">
        <v>1372540</v>
      </c>
      <c r="AJ38" s="8">
        <v>0</v>
      </c>
      <c r="AK38" s="5">
        <f t="shared" si="12"/>
        <v>5589077</v>
      </c>
      <c r="AM38" s="6">
        <v>45691</v>
      </c>
      <c r="AN38" s="8">
        <v>3840886</v>
      </c>
      <c r="AO38" s="8">
        <v>0</v>
      </c>
      <c r="AP38" s="8">
        <v>308680</v>
      </c>
      <c r="AQ38" s="5">
        <f t="shared" si="6"/>
        <v>4149566</v>
      </c>
      <c r="AR38" s="5">
        <v>1512040</v>
      </c>
      <c r="AS38" s="5"/>
      <c r="AT38" s="8">
        <f t="shared" si="11"/>
        <v>1512040</v>
      </c>
      <c r="AU38" s="5"/>
      <c r="AV38" s="5">
        <f t="shared" si="13"/>
        <v>5661606</v>
      </c>
      <c r="AX38" s="6">
        <v>46057</v>
      </c>
      <c r="AY38" s="8">
        <v>15799410</v>
      </c>
      <c r="AZ38" s="8">
        <v>2833110</v>
      </c>
      <c r="BA38" s="8">
        <v>253940</v>
      </c>
      <c r="BB38" s="5">
        <f t="shared" si="14"/>
        <v>18886460</v>
      </c>
      <c r="BC38" s="5">
        <v>1125700</v>
      </c>
      <c r="BD38" s="5">
        <v>160500</v>
      </c>
      <c r="BE38" s="8">
        <f t="shared" si="8"/>
        <v>1286200</v>
      </c>
      <c r="BF38" s="5">
        <v>260720</v>
      </c>
      <c r="BG38" s="5">
        <f t="shared" si="9"/>
        <v>20433380</v>
      </c>
    </row>
    <row r="39" spans="1:59">
      <c r="A39" s="6">
        <v>43869</v>
      </c>
      <c r="B39" s="8">
        <v>2257837</v>
      </c>
      <c r="C39" s="8">
        <v>1844750</v>
      </c>
      <c r="D39" s="7">
        <f t="shared" si="0"/>
        <v>4102587</v>
      </c>
      <c r="F39" s="6">
        <v>44233</v>
      </c>
      <c r="G39" s="5">
        <v>1323418</v>
      </c>
      <c r="H39" s="5">
        <v>1029230</v>
      </c>
      <c r="K39" s="7">
        <f t="shared" si="1"/>
        <v>2352648</v>
      </c>
      <c r="M39" s="6">
        <v>44597</v>
      </c>
      <c r="N39" s="5">
        <v>2843244</v>
      </c>
      <c r="O39" s="5">
        <v>1389980</v>
      </c>
      <c r="P39" s="5">
        <v>281910</v>
      </c>
      <c r="Q39" s="5">
        <f t="shared" si="2"/>
        <v>4515134</v>
      </c>
      <c r="R39" s="5">
        <v>311530</v>
      </c>
      <c r="S39" s="5">
        <f t="shared" si="3"/>
        <v>4826664</v>
      </c>
      <c r="U39" s="6">
        <v>44961</v>
      </c>
      <c r="V39" s="8">
        <v>2197705</v>
      </c>
      <c r="W39" s="8">
        <v>1152110</v>
      </c>
      <c r="X39" s="8">
        <v>44450</v>
      </c>
      <c r="Y39" s="5">
        <f t="shared" si="10"/>
        <v>3394265</v>
      </c>
      <c r="Z39" s="5"/>
      <c r="AA39" s="8">
        <v>58110</v>
      </c>
      <c r="AB39" s="5">
        <f t="shared" si="4"/>
        <v>3452375</v>
      </c>
      <c r="AD39" s="6">
        <v>45326</v>
      </c>
      <c r="AE39" s="8">
        <v>0</v>
      </c>
      <c r="AF39" s="8">
        <v>0</v>
      </c>
      <c r="AG39" s="8">
        <v>304700</v>
      </c>
      <c r="AH39" s="5">
        <f t="shared" si="5"/>
        <v>304700</v>
      </c>
      <c r="AI39" s="5">
        <v>1833760</v>
      </c>
      <c r="AJ39" s="8">
        <v>0</v>
      </c>
      <c r="AK39" s="5">
        <f t="shared" si="12"/>
        <v>2138460</v>
      </c>
      <c r="AM39" s="6">
        <v>45692</v>
      </c>
      <c r="AN39" s="8">
        <v>3853822</v>
      </c>
      <c r="AO39" s="8">
        <v>0</v>
      </c>
      <c r="AP39" s="8">
        <v>311800</v>
      </c>
      <c r="AQ39" s="5">
        <f t="shared" si="6"/>
        <v>4165622</v>
      </c>
      <c r="AR39" s="5">
        <v>1370980</v>
      </c>
      <c r="AS39" s="5"/>
      <c r="AT39" s="8">
        <f t="shared" si="11"/>
        <v>1370980</v>
      </c>
      <c r="AU39" s="5"/>
      <c r="AV39" s="5">
        <f t="shared" si="13"/>
        <v>5536602</v>
      </c>
      <c r="AX39" s="6">
        <v>46058</v>
      </c>
      <c r="AY39" s="8">
        <v>11610070</v>
      </c>
      <c r="AZ39" s="8">
        <v>2319280</v>
      </c>
      <c r="BA39" s="8">
        <v>126550</v>
      </c>
      <c r="BB39" s="5">
        <f t="shared" si="14"/>
        <v>14055900</v>
      </c>
      <c r="BC39" s="5">
        <v>881790</v>
      </c>
      <c r="BD39" s="5">
        <v>233300</v>
      </c>
      <c r="BE39" s="8">
        <f t="shared" si="8"/>
        <v>1115090</v>
      </c>
      <c r="BF39" s="5">
        <v>190000</v>
      </c>
      <c r="BG39" s="5">
        <f t="shared" si="9"/>
        <v>15360990</v>
      </c>
    </row>
    <row r="40" spans="1:59">
      <c r="A40" s="6">
        <v>43870</v>
      </c>
      <c r="B40" s="8">
        <v>2281940</v>
      </c>
      <c r="C40" s="8">
        <v>1793310</v>
      </c>
      <c r="D40" s="7">
        <f t="shared" si="0"/>
        <v>4075250</v>
      </c>
      <c r="F40" s="6">
        <v>44234</v>
      </c>
      <c r="G40" s="5">
        <v>1413111</v>
      </c>
      <c r="H40" s="5">
        <v>765140</v>
      </c>
      <c r="K40" s="7">
        <f t="shared" si="1"/>
        <v>2178251</v>
      </c>
      <c r="M40" s="6">
        <v>44598</v>
      </c>
      <c r="N40" s="5">
        <v>2803983</v>
      </c>
      <c r="O40" s="5">
        <v>1630800</v>
      </c>
      <c r="P40" s="5">
        <v>409840</v>
      </c>
      <c r="Q40" s="5">
        <f t="shared" si="2"/>
        <v>4844623</v>
      </c>
      <c r="R40" s="5">
        <v>259376</v>
      </c>
      <c r="S40" s="5">
        <f t="shared" si="3"/>
        <v>5103999</v>
      </c>
      <c r="U40" s="6">
        <v>44962</v>
      </c>
      <c r="V40" s="8">
        <v>2815189</v>
      </c>
      <c r="W40" s="8">
        <v>991830</v>
      </c>
      <c r="X40" s="8">
        <v>84250</v>
      </c>
      <c r="Y40" s="5">
        <f t="shared" si="10"/>
        <v>3891269</v>
      </c>
      <c r="Z40" s="5"/>
      <c r="AA40" s="8">
        <v>58110</v>
      </c>
      <c r="AB40" s="5">
        <f t="shared" si="4"/>
        <v>3949379</v>
      </c>
      <c r="AD40" s="6">
        <v>45327</v>
      </c>
      <c r="AE40" s="8">
        <v>0</v>
      </c>
      <c r="AF40" s="8">
        <v>0</v>
      </c>
      <c r="AG40" s="8">
        <v>230010</v>
      </c>
      <c r="AH40" s="5">
        <f t="shared" si="5"/>
        <v>230010</v>
      </c>
      <c r="AI40" s="5">
        <v>3306820</v>
      </c>
      <c r="AJ40" s="8">
        <v>0</v>
      </c>
      <c r="AK40" s="5">
        <f t="shared" si="12"/>
        <v>3536830</v>
      </c>
      <c r="AM40" s="6">
        <v>45693</v>
      </c>
      <c r="AN40" s="8">
        <v>2550345</v>
      </c>
      <c r="AO40" s="8">
        <v>0</v>
      </c>
      <c r="AP40" s="8">
        <v>380030</v>
      </c>
      <c r="AQ40" s="5">
        <f t="shared" si="6"/>
        <v>2930375</v>
      </c>
      <c r="AR40" s="5">
        <v>1197450</v>
      </c>
      <c r="AS40" s="5"/>
      <c r="AT40" s="8">
        <f t="shared" si="11"/>
        <v>1197450</v>
      </c>
      <c r="AU40" s="5"/>
      <c r="AV40" s="5">
        <f t="shared" si="13"/>
        <v>4127825</v>
      </c>
      <c r="AX40" s="6">
        <v>46059</v>
      </c>
      <c r="AY40" s="8">
        <v>5869530</v>
      </c>
      <c r="AZ40" s="8">
        <v>1137410</v>
      </c>
      <c r="BA40" s="8">
        <v>88080</v>
      </c>
      <c r="BB40" s="5">
        <f t="shared" si="14"/>
        <v>7095020</v>
      </c>
      <c r="BC40" s="5">
        <v>832444</v>
      </c>
      <c r="BD40" s="5">
        <v>149500</v>
      </c>
      <c r="BE40" s="8">
        <f t="shared" si="8"/>
        <v>981944</v>
      </c>
      <c r="BF40" s="5">
        <v>87500</v>
      </c>
      <c r="BG40" s="5">
        <f t="shared" si="9"/>
        <v>8164464</v>
      </c>
    </row>
    <row r="41" spans="1:59">
      <c r="A41" s="6">
        <v>43871</v>
      </c>
      <c r="B41" s="8">
        <v>4755485</v>
      </c>
      <c r="C41" s="8">
        <v>3265170</v>
      </c>
      <c r="D41" s="7">
        <f t="shared" si="0"/>
        <v>8020655</v>
      </c>
      <c r="F41" s="6">
        <v>44235</v>
      </c>
      <c r="G41" s="5">
        <v>1606440</v>
      </c>
      <c r="H41" s="5">
        <v>1381170</v>
      </c>
      <c r="K41" s="7">
        <f t="shared" si="1"/>
        <v>2987610</v>
      </c>
      <c r="M41" s="6">
        <v>44599</v>
      </c>
      <c r="N41" s="5">
        <v>6961376</v>
      </c>
      <c r="O41" s="5">
        <v>2111050</v>
      </c>
      <c r="P41" s="5">
        <v>256650</v>
      </c>
      <c r="Q41" s="5">
        <f t="shared" si="2"/>
        <v>9329076</v>
      </c>
      <c r="R41" s="5">
        <v>339282</v>
      </c>
      <c r="S41" s="5">
        <f t="shared" si="3"/>
        <v>9668358</v>
      </c>
      <c r="U41" s="6">
        <v>44963</v>
      </c>
      <c r="V41" s="8">
        <v>7669754</v>
      </c>
      <c r="W41" s="8">
        <v>2403770</v>
      </c>
      <c r="X41" s="8">
        <v>311040</v>
      </c>
      <c r="Y41" s="5">
        <f t="shared" si="10"/>
        <v>10384564</v>
      </c>
      <c r="Z41" s="5"/>
      <c r="AA41" s="8">
        <v>0</v>
      </c>
      <c r="AB41" s="5">
        <f t="shared" si="4"/>
        <v>10384564</v>
      </c>
      <c r="AD41" s="6">
        <v>45328</v>
      </c>
      <c r="AE41" s="8">
        <v>17206104</v>
      </c>
      <c r="AF41" s="8">
        <v>3656300</v>
      </c>
      <c r="AG41" s="8">
        <v>261850</v>
      </c>
      <c r="AH41" s="5">
        <f t="shared" si="5"/>
        <v>21124254</v>
      </c>
      <c r="AI41" s="5">
        <v>1805682</v>
      </c>
      <c r="AJ41" s="8">
        <v>0</v>
      </c>
      <c r="AK41" s="5">
        <f t="shared" si="12"/>
        <v>22929936</v>
      </c>
      <c r="AM41" s="6">
        <v>45694</v>
      </c>
      <c r="AN41" s="8">
        <v>46774451</v>
      </c>
      <c r="AO41" s="8">
        <v>0</v>
      </c>
      <c r="AP41" s="8">
        <v>208520</v>
      </c>
      <c r="AQ41" s="5">
        <f t="shared" si="6"/>
        <v>46982971</v>
      </c>
      <c r="AR41" s="5">
        <v>1076000</v>
      </c>
      <c r="AS41" s="5"/>
      <c r="AT41" s="8">
        <f t="shared" si="11"/>
        <v>1076000</v>
      </c>
      <c r="AU41" s="5"/>
      <c r="AV41" s="5">
        <f t="shared" si="13"/>
        <v>48058971</v>
      </c>
      <c r="AX41" s="6">
        <v>46060</v>
      </c>
      <c r="AY41" s="8">
        <v>4202170</v>
      </c>
      <c r="AZ41" s="8">
        <v>896290</v>
      </c>
      <c r="BA41" s="8">
        <v>288760</v>
      </c>
      <c r="BB41" s="5">
        <f t="shared" si="14"/>
        <v>5387220</v>
      </c>
      <c r="BC41" s="5">
        <v>680570</v>
      </c>
      <c r="BD41" s="5">
        <v>318000</v>
      </c>
      <c r="BE41" s="8">
        <f t="shared" si="8"/>
        <v>998570</v>
      </c>
      <c r="BF41" s="5">
        <v>141000</v>
      </c>
      <c r="BG41" s="5">
        <f t="shared" si="9"/>
        <v>6526790</v>
      </c>
    </row>
    <row r="42" spans="1:59">
      <c r="A42" s="6">
        <v>43872</v>
      </c>
      <c r="B42" s="8">
        <v>11672806</v>
      </c>
      <c r="C42" s="8">
        <v>2064770</v>
      </c>
      <c r="D42" s="7">
        <f t="shared" si="0"/>
        <v>13737576</v>
      </c>
      <c r="F42" s="6">
        <v>44236</v>
      </c>
      <c r="G42" s="5">
        <v>1909431</v>
      </c>
      <c r="H42" s="5">
        <v>1085880</v>
      </c>
      <c r="K42" s="7">
        <f t="shared" si="1"/>
        <v>2995311</v>
      </c>
      <c r="M42" s="6">
        <v>44600</v>
      </c>
      <c r="N42" s="5">
        <v>9576064</v>
      </c>
      <c r="O42" s="5">
        <v>2427520</v>
      </c>
      <c r="P42" s="5">
        <v>472590</v>
      </c>
      <c r="Q42" s="5">
        <f t="shared" si="2"/>
        <v>12476174</v>
      </c>
      <c r="R42" s="5">
        <v>345644</v>
      </c>
      <c r="S42" s="5">
        <f t="shared" si="3"/>
        <v>12821818</v>
      </c>
      <c r="U42" s="6">
        <v>44964</v>
      </c>
      <c r="V42" s="8">
        <v>9283500</v>
      </c>
      <c r="W42" s="8">
        <v>2629820</v>
      </c>
      <c r="X42" s="8">
        <v>1032170</v>
      </c>
      <c r="Y42" s="5">
        <f t="shared" si="10"/>
        <v>12945490</v>
      </c>
      <c r="Z42" s="5"/>
      <c r="AA42" s="8">
        <v>0</v>
      </c>
      <c r="AB42" s="5">
        <f t="shared" si="4"/>
        <v>12945490</v>
      </c>
      <c r="AD42" s="6">
        <v>45329</v>
      </c>
      <c r="AE42" s="8">
        <v>4837430</v>
      </c>
      <c r="AF42" s="8">
        <v>1414010</v>
      </c>
      <c r="AG42" s="8">
        <v>63720</v>
      </c>
      <c r="AH42" s="5">
        <f t="shared" si="5"/>
        <v>6315160</v>
      </c>
      <c r="AI42" s="5">
        <v>867940</v>
      </c>
      <c r="AJ42" s="8">
        <v>0</v>
      </c>
      <c r="AK42" s="5">
        <f t="shared" si="12"/>
        <v>7183100</v>
      </c>
      <c r="AM42" s="6">
        <v>45695</v>
      </c>
      <c r="AN42" s="8">
        <v>14070245</v>
      </c>
      <c r="AO42" s="8">
        <v>1963391</v>
      </c>
      <c r="AP42" s="8">
        <v>52960</v>
      </c>
      <c r="AQ42" s="5">
        <f t="shared" si="6"/>
        <v>16086596</v>
      </c>
      <c r="AR42" s="5">
        <v>2740330</v>
      </c>
      <c r="AS42" s="5"/>
      <c r="AT42" s="8">
        <f t="shared" si="11"/>
        <v>2740330</v>
      </c>
      <c r="AU42" s="5"/>
      <c r="AV42" s="5">
        <f t="shared" si="13"/>
        <v>18826926</v>
      </c>
      <c r="AX42" s="6">
        <v>46061</v>
      </c>
      <c r="AY42" s="8">
        <v>4882950</v>
      </c>
      <c r="AZ42" s="8">
        <v>1235350</v>
      </c>
      <c r="BA42" s="8">
        <v>259400</v>
      </c>
      <c r="BB42" s="5">
        <f t="shared" si="14"/>
        <v>6377700</v>
      </c>
      <c r="BC42" s="5">
        <v>725450</v>
      </c>
      <c r="BD42" s="5">
        <v>137860</v>
      </c>
      <c r="BE42" s="8">
        <f t="shared" si="8"/>
        <v>863310</v>
      </c>
      <c r="BF42" s="5">
        <v>25000</v>
      </c>
      <c r="BG42" s="5">
        <f t="shared" si="9"/>
        <v>7266010</v>
      </c>
    </row>
    <row r="43" spans="1:59">
      <c r="A43" s="6">
        <v>43873</v>
      </c>
      <c r="B43" s="8">
        <v>13161108</v>
      </c>
      <c r="C43" s="8">
        <v>1918930</v>
      </c>
      <c r="D43" s="7">
        <f t="shared" si="0"/>
        <v>15080038</v>
      </c>
      <c r="F43" s="6">
        <v>44237</v>
      </c>
      <c r="G43" s="5">
        <v>1594816</v>
      </c>
      <c r="H43" s="5">
        <v>1067540</v>
      </c>
      <c r="K43" s="7">
        <f t="shared" si="1"/>
        <v>2662356</v>
      </c>
      <c r="M43" s="6">
        <v>44601</v>
      </c>
      <c r="N43" s="5">
        <v>8163190</v>
      </c>
      <c r="O43" s="5">
        <v>2082780</v>
      </c>
      <c r="P43" s="5">
        <v>629600</v>
      </c>
      <c r="Q43" s="5">
        <f t="shared" si="2"/>
        <v>10875570</v>
      </c>
      <c r="R43" s="5">
        <v>412576</v>
      </c>
      <c r="S43" s="5">
        <f t="shared" si="3"/>
        <v>11288146</v>
      </c>
      <c r="U43" s="6">
        <v>44965</v>
      </c>
      <c r="V43" s="8">
        <v>9913858</v>
      </c>
      <c r="W43" s="8">
        <v>4011460</v>
      </c>
      <c r="X43" s="8">
        <v>844230</v>
      </c>
      <c r="Y43" s="5">
        <f t="shared" si="10"/>
        <v>14769548</v>
      </c>
      <c r="Z43" s="5"/>
      <c r="AA43" s="8">
        <v>14900</v>
      </c>
      <c r="AB43" s="5">
        <f t="shared" si="4"/>
        <v>14784448</v>
      </c>
      <c r="AD43" s="6">
        <v>45330</v>
      </c>
      <c r="AE43" s="8">
        <v>1844512</v>
      </c>
      <c r="AF43" s="8">
        <v>493600</v>
      </c>
      <c r="AG43" s="8">
        <v>36500</v>
      </c>
      <c r="AH43" s="5">
        <f t="shared" si="5"/>
        <v>2374612</v>
      </c>
      <c r="AI43" s="5">
        <v>664380</v>
      </c>
      <c r="AJ43" s="8">
        <v>0</v>
      </c>
      <c r="AK43" s="5">
        <f t="shared" si="12"/>
        <v>3038992</v>
      </c>
      <c r="AM43" s="6">
        <v>45696</v>
      </c>
      <c r="AN43" s="8">
        <v>5911478</v>
      </c>
      <c r="AO43" s="8">
        <v>1371060</v>
      </c>
      <c r="AP43" s="8">
        <v>132180</v>
      </c>
      <c r="AQ43" s="5">
        <f t="shared" si="6"/>
        <v>7414718</v>
      </c>
      <c r="AR43" s="5">
        <v>4118180</v>
      </c>
      <c r="AS43" s="5"/>
      <c r="AT43" s="8">
        <f t="shared" si="11"/>
        <v>4118180</v>
      </c>
      <c r="AU43" s="5"/>
      <c r="AV43" s="5">
        <f t="shared" si="13"/>
        <v>11532898</v>
      </c>
      <c r="AX43" s="6">
        <v>46062</v>
      </c>
      <c r="AY43" s="8">
        <v>8287720</v>
      </c>
      <c r="AZ43" s="8">
        <v>1671360</v>
      </c>
      <c r="BA43" s="8">
        <v>377800</v>
      </c>
      <c r="BB43" s="5">
        <f t="shared" si="14"/>
        <v>10336880</v>
      </c>
      <c r="BC43" s="5">
        <v>1594190</v>
      </c>
      <c r="BD43" s="5">
        <v>97700</v>
      </c>
      <c r="BE43" s="8">
        <f t="shared" si="8"/>
        <v>1691890</v>
      </c>
      <c r="BF43" s="5">
        <v>0</v>
      </c>
      <c r="BG43" s="5">
        <f t="shared" si="9"/>
        <v>12028770</v>
      </c>
    </row>
    <row r="44" spans="1:59">
      <c r="A44" s="6">
        <v>43874</v>
      </c>
      <c r="B44" s="8">
        <v>12937543</v>
      </c>
      <c r="C44" s="8">
        <v>2536060</v>
      </c>
      <c r="D44" s="7">
        <f t="shared" si="0"/>
        <v>15473603</v>
      </c>
      <c r="F44" s="6">
        <v>44238</v>
      </c>
      <c r="G44" s="5">
        <v>1704726</v>
      </c>
      <c r="H44" s="5">
        <v>906830</v>
      </c>
      <c r="K44" s="7">
        <f t="shared" si="1"/>
        <v>2611556</v>
      </c>
      <c r="M44" s="6">
        <v>44602</v>
      </c>
      <c r="N44" s="5">
        <v>9473054</v>
      </c>
      <c r="O44" s="5">
        <v>3953850</v>
      </c>
      <c r="P44" s="5">
        <v>348680</v>
      </c>
      <c r="Q44" s="5">
        <f t="shared" si="2"/>
        <v>13775584</v>
      </c>
      <c r="R44" s="5">
        <v>385565</v>
      </c>
      <c r="S44" s="5">
        <f t="shared" si="3"/>
        <v>14161149</v>
      </c>
      <c r="U44" s="6">
        <v>44966</v>
      </c>
      <c r="V44" s="8">
        <v>9163088</v>
      </c>
      <c r="W44" s="8">
        <v>2692240</v>
      </c>
      <c r="X44" s="8">
        <v>445090</v>
      </c>
      <c r="Y44" s="5">
        <f t="shared" si="10"/>
        <v>12300418</v>
      </c>
      <c r="Z44" s="5"/>
      <c r="AA44" s="8">
        <v>81620</v>
      </c>
      <c r="AB44" s="5">
        <f t="shared" si="4"/>
        <v>12382038</v>
      </c>
      <c r="AD44" s="6">
        <v>45331</v>
      </c>
      <c r="AE44" s="8">
        <v>1037342</v>
      </c>
      <c r="AF44" s="8">
        <v>607980</v>
      </c>
      <c r="AG44" s="8">
        <v>80020</v>
      </c>
      <c r="AH44" s="5">
        <f t="shared" si="5"/>
        <v>1725342</v>
      </c>
      <c r="AI44" s="5">
        <v>844348</v>
      </c>
      <c r="AJ44" s="8">
        <v>0</v>
      </c>
      <c r="AK44" s="5">
        <f t="shared" si="12"/>
        <v>2569690</v>
      </c>
      <c r="AM44" s="6">
        <v>45697</v>
      </c>
      <c r="AN44" s="8">
        <v>5975420</v>
      </c>
      <c r="AO44" s="8">
        <v>2147980</v>
      </c>
      <c r="AP44" s="8">
        <v>168280</v>
      </c>
      <c r="AQ44" s="5">
        <f t="shared" si="6"/>
        <v>8291680</v>
      </c>
      <c r="AR44" s="5">
        <v>2289900</v>
      </c>
      <c r="AS44" s="5"/>
      <c r="AT44" s="8">
        <f t="shared" si="11"/>
        <v>2289900</v>
      </c>
      <c r="AU44" s="5"/>
      <c r="AV44" s="5">
        <f t="shared" si="13"/>
        <v>10581580</v>
      </c>
      <c r="AX44" s="6">
        <v>46063</v>
      </c>
      <c r="AY44" s="8">
        <v>10558610</v>
      </c>
      <c r="AZ44" s="8">
        <v>1714720</v>
      </c>
      <c r="BA44" s="8">
        <v>387320</v>
      </c>
      <c r="BB44" s="5">
        <f t="shared" si="14"/>
        <v>12660650</v>
      </c>
      <c r="BC44" s="5">
        <v>1106970</v>
      </c>
      <c r="BD44" s="5">
        <v>149500</v>
      </c>
      <c r="BE44" s="8">
        <f t="shared" si="8"/>
        <v>1256470</v>
      </c>
      <c r="BF44" s="5">
        <v>517020</v>
      </c>
      <c r="BG44" s="5">
        <f t="shared" si="9"/>
        <v>14434140</v>
      </c>
    </row>
    <row r="45" spans="1:59">
      <c r="A45" s="6">
        <v>43875</v>
      </c>
      <c r="B45" s="8">
        <v>3063404</v>
      </c>
      <c r="C45" s="8">
        <v>1862380</v>
      </c>
      <c r="D45" s="7">
        <f t="shared" si="0"/>
        <v>4925784</v>
      </c>
      <c r="F45" s="6">
        <v>44239</v>
      </c>
      <c r="G45" s="5">
        <v>3039934</v>
      </c>
      <c r="H45" s="5">
        <v>2525220</v>
      </c>
      <c r="K45" s="7">
        <f t="shared" si="1"/>
        <v>5565154</v>
      </c>
      <c r="M45" s="6">
        <v>44603</v>
      </c>
      <c r="N45" s="5">
        <v>2946699</v>
      </c>
      <c r="O45" s="5">
        <v>1656860</v>
      </c>
      <c r="P45" s="5">
        <v>404640</v>
      </c>
      <c r="Q45" s="5">
        <f>SUM(N45:P45)</f>
        <v>5008199</v>
      </c>
      <c r="R45" s="5">
        <v>427976</v>
      </c>
      <c r="S45" s="5">
        <f t="shared" si="3"/>
        <v>5436175</v>
      </c>
      <c r="U45" s="6">
        <v>44967</v>
      </c>
      <c r="V45" s="8">
        <v>5818770</v>
      </c>
      <c r="W45" s="8">
        <v>2676390</v>
      </c>
      <c r="X45" s="8">
        <v>488300</v>
      </c>
      <c r="Y45" s="5">
        <f t="shared" si="10"/>
        <v>8983460</v>
      </c>
      <c r="Z45" s="5"/>
      <c r="AA45" s="8">
        <v>28310</v>
      </c>
      <c r="AB45" s="5">
        <f t="shared" si="4"/>
        <v>9011770</v>
      </c>
      <c r="AD45" s="6">
        <v>45332</v>
      </c>
      <c r="AE45" s="8">
        <v>1734640</v>
      </c>
      <c r="AF45" s="8">
        <v>606070</v>
      </c>
      <c r="AG45" s="8">
        <v>0</v>
      </c>
      <c r="AH45" s="5">
        <f t="shared" si="5"/>
        <v>2340710</v>
      </c>
      <c r="AI45" s="5">
        <v>1148000</v>
      </c>
      <c r="AJ45" s="8">
        <v>0</v>
      </c>
      <c r="AK45" s="5">
        <f t="shared" si="12"/>
        <v>3488710</v>
      </c>
      <c r="AM45" s="6">
        <v>45698</v>
      </c>
      <c r="AN45" s="8">
        <v>8906401</v>
      </c>
      <c r="AO45" s="8">
        <v>2274580</v>
      </c>
      <c r="AP45" s="8">
        <v>421160</v>
      </c>
      <c r="AQ45" s="5">
        <f t="shared" si="6"/>
        <v>11602141</v>
      </c>
      <c r="AR45" s="5">
        <v>3625670</v>
      </c>
      <c r="AS45" s="5"/>
      <c r="AT45" s="8">
        <f t="shared" si="11"/>
        <v>3625670</v>
      </c>
      <c r="AU45" s="5"/>
      <c r="AV45" s="5">
        <f t="shared" si="13"/>
        <v>15227811</v>
      </c>
      <c r="AX45" s="6">
        <v>46064</v>
      </c>
      <c r="AY45" s="8">
        <v>11129760</v>
      </c>
      <c r="AZ45" s="8">
        <v>2030610</v>
      </c>
      <c r="BA45" s="8">
        <v>162100</v>
      </c>
      <c r="BB45" s="5">
        <f t="shared" si="14"/>
        <v>13322470</v>
      </c>
      <c r="BC45" s="5">
        <v>1931030</v>
      </c>
      <c r="BD45" s="5">
        <v>136080</v>
      </c>
      <c r="BE45" s="8">
        <f t="shared" si="8"/>
        <v>2067110</v>
      </c>
      <c r="BF45" s="5">
        <v>150000</v>
      </c>
      <c r="BG45" s="5">
        <f t="shared" si="9"/>
        <v>15539580</v>
      </c>
    </row>
    <row r="46" spans="1:59">
      <c r="A46" s="6">
        <v>43876</v>
      </c>
      <c r="B46" s="8">
        <v>2496517</v>
      </c>
      <c r="C46" s="8">
        <v>1546510</v>
      </c>
      <c r="D46" s="7">
        <f t="shared" si="0"/>
        <v>4043027</v>
      </c>
      <c r="F46" s="6">
        <v>44240</v>
      </c>
      <c r="G46" s="5">
        <v>3273651</v>
      </c>
      <c r="H46" s="5">
        <v>1974190</v>
      </c>
      <c r="K46" s="7">
        <f t="shared" si="1"/>
        <v>5247841</v>
      </c>
      <c r="M46" s="6">
        <v>44604</v>
      </c>
      <c r="N46" s="5">
        <v>1793407</v>
      </c>
      <c r="O46" s="5">
        <v>1003300</v>
      </c>
      <c r="P46" s="5">
        <v>479330</v>
      </c>
      <c r="Q46" s="5">
        <f t="shared" si="2"/>
        <v>3276037</v>
      </c>
      <c r="R46" s="5">
        <v>426930</v>
      </c>
      <c r="S46" s="5">
        <f t="shared" si="3"/>
        <v>3702967</v>
      </c>
      <c r="U46" s="6">
        <v>44968</v>
      </c>
      <c r="V46" s="8">
        <v>2162706</v>
      </c>
      <c r="W46" s="8">
        <v>1152110</v>
      </c>
      <c r="X46" s="8">
        <v>396290</v>
      </c>
      <c r="Y46" s="5">
        <f t="shared" si="10"/>
        <v>3711106</v>
      </c>
      <c r="Z46" s="5"/>
      <c r="AA46" s="8">
        <v>44700</v>
      </c>
      <c r="AB46" s="5">
        <f t="shared" si="4"/>
        <v>3755806</v>
      </c>
      <c r="AD46" s="6">
        <v>45333</v>
      </c>
      <c r="AE46" s="8">
        <v>9650092</v>
      </c>
      <c r="AF46" s="8">
        <v>1452470</v>
      </c>
      <c r="AG46" s="8">
        <v>115100</v>
      </c>
      <c r="AH46" s="5">
        <f t="shared" si="5"/>
        <v>11217662</v>
      </c>
      <c r="AI46" s="5">
        <v>3755060</v>
      </c>
      <c r="AJ46" s="8"/>
      <c r="AK46" s="5">
        <f t="shared" si="12"/>
        <v>14972722</v>
      </c>
      <c r="AM46" s="6">
        <v>45699</v>
      </c>
      <c r="AN46" s="8">
        <v>8852599</v>
      </c>
      <c r="AO46" s="8">
        <v>2661210</v>
      </c>
      <c r="AP46" s="8">
        <v>197940</v>
      </c>
      <c r="AQ46" s="5">
        <f t="shared" si="6"/>
        <v>11711749</v>
      </c>
      <c r="AR46" s="5">
        <v>2498970</v>
      </c>
      <c r="AS46" s="5"/>
      <c r="AT46" s="8">
        <f t="shared" si="11"/>
        <v>2498970</v>
      </c>
      <c r="AU46" s="5"/>
      <c r="AV46" s="5">
        <f t="shared" si="13"/>
        <v>14210719</v>
      </c>
      <c r="AX46" s="6">
        <v>46065</v>
      </c>
      <c r="AY46" s="8">
        <v>7863560</v>
      </c>
      <c r="AZ46" s="8">
        <v>1804550</v>
      </c>
      <c r="BA46" s="8">
        <v>198790</v>
      </c>
      <c r="BB46" s="5">
        <f t="shared" si="14"/>
        <v>9866900</v>
      </c>
      <c r="BC46" s="5">
        <v>1175720</v>
      </c>
      <c r="BD46" s="5">
        <v>187400</v>
      </c>
      <c r="BE46" s="8">
        <f t="shared" si="8"/>
        <v>1363120</v>
      </c>
      <c r="BF46" s="5">
        <v>0</v>
      </c>
      <c r="BG46" s="5">
        <f t="shared" si="9"/>
        <v>11230020</v>
      </c>
    </row>
    <row r="47" spans="1:59">
      <c r="A47" s="6">
        <v>43877</v>
      </c>
      <c r="B47" s="8">
        <v>2521471</v>
      </c>
      <c r="C47" s="8">
        <v>1686370</v>
      </c>
      <c r="D47" s="7">
        <f t="shared" si="0"/>
        <v>4207841</v>
      </c>
      <c r="F47" s="6">
        <v>44241</v>
      </c>
      <c r="G47" s="5">
        <v>7762167</v>
      </c>
      <c r="H47" s="5">
        <v>4723466</v>
      </c>
      <c r="K47" s="7">
        <f t="shared" si="1"/>
        <v>12485633</v>
      </c>
      <c r="M47" s="6">
        <v>44605</v>
      </c>
      <c r="N47" s="5">
        <v>3065625</v>
      </c>
      <c r="O47" s="5">
        <v>1779960</v>
      </c>
      <c r="P47" s="5">
        <v>415730</v>
      </c>
      <c r="Q47" s="5">
        <f t="shared" si="2"/>
        <v>5261315</v>
      </c>
      <c r="R47" s="5">
        <v>559734</v>
      </c>
      <c r="S47" s="5">
        <f t="shared" si="3"/>
        <v>5821049</v>
      </c>
      <c r="U47" s="6">
        <v>44969</v>
      </c>
      <c r="V47" s="8">
        <v>5817802</v>
      </c>
      <c r="W47" s="8">
        <v>2034260</v>
      </c>
      <c r="X47" s="8">
        <v>767410</v>
      </c>
      <c r="Y47" s="5">
        <f t="shared" si="10"/>
        <v>8619472</v>
      </c>
      <c r="Z47" s="5"/>
      <c r="AA47" s="8">
        <v>66720</v>
      </c>
      <c r="AB47" s="5">
        <f t="shared" si="4"/>
        <v>8686192</v>
      </c>
      <c r="AD47" s="6">
        <v>45334</v>
      </c>
      <c r="AE47" s="8">
        <v>12563592</v>
      </c>
      <c r="AF47" s="8">
        <v>2062280</v>
      </c>
      <c r="AG47" s="8">
        <v>164730</v>
      </c>
      <c r="AH47" s="5">
        <f t="shared" si="5"/>
        <v>14790602</v>
      </c>
      <c r="AI47" s="5">
        <v>7135380</v>
      </c>
      <c r="AJ47" s="8">
        <v>11500</v>
      </c>
      <c r="AK47" s="5">
        <f t="shared" si="12"/>
        <v>21937482</v>
      </c>
      <c r="AM47" s="6">
        <v>45700</v>
      </c>
      <c r="AN47" s="8">
        <v>14117694</v>
      </c>
      <c r="AO47" s="8">
        <v>2958134</v>
      </c>
      <c r="AP47" s="8">
        <v>324260</v>
      </c>
      <c r="AQ47" s="5">
        <f t="shared" si="6"/>
        <v>17400088</v>
      </c>
      <c r="AR47" s="5">
        <v>1679620</v>
      </c>
      <c r="AS47" s="5"/>
      <c r="AT47" s="8">
        <f t="shared" si="11"/>
        <v>1679620</v>
      </c>
      <c r="AU47" s="5"/>
      <c r="AV47" s="5">
        <f t="shared" si="13"/>
        <v>19079708</v>
      </c>
      <c r="AX47" s="6">
        <v>46066</v>
      </c>
      <c r="AY47" s="8">
        <v>9872742</v>
      </c>
      <c r="AZ47" s="8">
        <v>1160730</v>
      </c>
      <c r="BA47" s="8">
        <v>83940</v>
      </c>
      <c r="BB47" s="5">
        <f t="shared" si="14"/>
        <v>11117412</v>
      </c>
      <c r="BC47" s="5">
        <v>5106790</v>
      </c>
      <c r="BD47" s="5">
        <v>263680</v>
      </c>
      <c r="BE47" s="8">
        <f t="shared" si="8"/>
        <v>5370470</v>
      </c>
      <c r="BF47" s="5">
        <v>560500</v>
      </c>
      <c r="BG47" s="5">
        <f t="shared" si="9"/>
        <v>17048382</v>
      </c>
    </row>
    <row r="48" spans="1:59">
      <c r="A48" s="6">
        <v>43878</v>
      </c>
      <c r="B48" s="8">
        <v>3751915</v>
      </c>
      <c r="C48" s="8">
        <v>2859490</v>
      </c>
      <c r="D48" s="7">
        <f t="shared" si="0"/>
        <v>6611405</v>
      </c>
      <c r="F48" s="6">
        <v>44242</v>
      </c>
      <c r="G48" s="5">
        <v>4107087</v>
      </c>
      <c r="H48" s="5">
        <v>2562770</v>
      </c>
      <c r="K48" s="7">
        <f t="shared" si="1"/>
        <v>6669857</v>
      </c>
      <c r="M48" s="6">
        <v>44606</v>
      </c>
      <c r="N48" s="5">
        <v>6150242</v>
      </c>
      <c r="O48" s="5">
        <v>2456980</v>
      </c>
      <c r="P48" s="5">
        <v>255070</v>
      </c>
      <c r="Q48" s="5">
        <f t="shared" si="2"/>
        <v>8862292</v>
      </c>
      <c r="R48" s="5">
        <v>513512</v>
      </c>
      <c r="S48" s="5">
        <f t="shared" si="3"/>
        <v>9375804</v>
      </c>
      <c r="U48" s="6">
        <v>44970</v>
      </c>
      <c r="V48" s="8">
        <v>8007734</v>
      </c>
      <c r="W48" s="8">
        <v>3147440</v>
      </c>
      <c r="X48" s="8">
        <v>165660</v>
      </c>
      <c r="Y48" s="5">
        <f t="shared" si="10"/>
        <v>11320834</v>
      </c>
      <c r="Z48" s="5"/>
      <c r="AA48" s="8">
        <v>58110</v>
      </c>
      <c r="AB48" s="5">
        <f t="shared" si="4"/>
        <v>11378944</v>
      </c>
      <c r="AD48" s="6">
        <v>45335</v>
      </c>
      <c r="AE48" s="8">
        <v>3839536</v>
      </c>
      <c r="AF48" s="8">
        <v>1029190</v>
      </c>
      <c r="AG48" s="8">
        <v>528110</v>
      </c>
      <c r="AH48" s="5">
        <f t="shared" si="5"/>
        <v>5396836</v>
      </c>
      <c r="AI48" s="5">
        <v>1386700</v>
      </c>
      <c r="AJ48" s="8">
        <v>15500</v>
      </c>
      <c r="AK48" s="5">
        <f t="shared" si="12"/>
        <v>6799036</v>
      </c>
      <c r="AM48" s="6">
        <v>45701</v>
      </c>
      <c r="AN48" s="8">
        <v>11409355</v>
      </c>
      <c r="AO48" s="8">
        <v>3090350</v>
      </c>
      <c r="AP48" s="8">
        <v>154180</v>
      </c>
      <c r="AQ48" s="5">
        <f t="shared" si="6"/>
        <v>14653885</v>
      </c>
      <c r="AR48" s="5">
        <v>1503080</v>
      </c>
      <c r="AS48" s="5"/>
      <c r="AT48" s="8">
        <f t="shared" si="11"/>
        <v>1503080</v>
      </c>
      <c r="AU48" s="5"/>
      <c r="AV48" s="5">
        <f t="shared" si="13"/>
        <v>16156965</v>
      </c>
      <c r="AX48" s="6">
        <v>46067</v>
      </c>
      <c r="AY48" s="8">
        <v>4914575</v>
      </c>
      <c r="AZ48" s="8">
        <v>621380</v>
      </c>
      <c r="BA48" s="8">
        <v>38640</v>
      </c>
      <c r="BB48" s="5">
        <f t="shared" si="14"/>
        <v>5574595</v>
      </c>
      <c r="BC48" s="5">
        <v>1306100</v>
      </c>
      <c r="BD48" s="5">
        <v>173800</v>
      </c>
      <c r="BE48" s="8">
        <f t="shared" si="8"/>
        <v>1479900</v>
      </c>
      <c r="BF48" s="5">
        <v>190930</v>
      </c>
      <c r="BG48" s="5">
        <f t="shared" si="9"/>
        <v>7245425</v>
      </c>
    </row>
    <row r="49" spans="1:59">
      <c r="A49" s="6">
        <v>43879</v>
      </c>
      <c r="B49" s="8">
        <v>8601454</v>
      </c>
      <c r="C49" s="8">
        <v>4226010</v>
      </c>
      <c r="D49" s="7">
        <f t="shared" si="0"/>
        <v>12827464</v>
      </c>
      <c r="F49" s="6">
        <v>44243</v>
      </c>
      <c r="G49" s="5">
        <v>3397712</v>
      </c>
      <c r="H49" s="5">
        <v>2421930</v>
      </c>
      <c r="K49" s="7">
        <f t="shared" si="1"/>
        <v>5819642</v>
      </c>
      <c r="M49" s="6">
        <v>44607</v>
      </c>
      <c r="N49" s="5">
        <v>7553883</v>
      </c>
      <c r="O49" s="5">
        <v>3118305</v>
      </c>
      <c r="P49" s="5">
        <v>554280</v>
      </c>
      <c r="Q49" s="5">
        <f t="shared" si="2"/>
        <v>11226468</v>
      </c>
      <c r="R49" s="5">
        <v>629618</v>
      </c>
      <c r="S49" s="5">
        <f t="shared" si="3"/>
        <v>11856086</v>
      </c>
      <c r="U49" s="6">
        <v>44971</v>
      </c>
      <c r="V49" s="8">
        <v>12201952</v>
      </c>
      <c r="W49" s="8">
        <v>3602230</v>
      </c>
      <c r="X49" s="8">
        <v>295360</v>
      </c>
      <c r="Y49" s="5">
        <f t="shared" si="10"/>
        <v>16099542</v>
      </c>
      <c r="Z49" s="5"/>
      <c r="AA49" s="8">
        <v>28310</v>
      </c>
      <c r="AB49" s="5">
        <f t="shared" si="4"/>
        <v>16127852</v>
      </c>
      <c r="AD49" s="6">
        <v>45336</v>
      </c>
      <c r="AE49" s="8">
        <v>2779931</v>
      </c>
      <c r="AF49" s="8">
        <v>1259360</v>
      </c>
      <c r="AG49" s="8">
        <v>206230</v>
      </c>
      <c r="AH49" s="5">
        <f t="shared" si="5"/>
        <v>4245521</v>
      </c>
      <c r="AI49" s="5">
        <v>1109460</v>
      </c>
      <c r="AJ49" s="8">
        <v>0</v>
      </c>
      <c r="AK49" s="5">
        <f t="shared" si="12"/>
        <v>5354981</v>
      </c>
      <c r="AM49" s="6">
        <v>45702</v>
      </c>
      <c r="AN49" s="8">
        <v>12865309</v>
      </c>
      <c r="AO49" s="8">
        <v>2458570</v>
      </c>
      <c r="AP49" s="8">
        <v>20900</v>
      </c>
      <c r="AQ49" s="5">
        <f t="shared" si="6"/>
        <v>15344779</v>
      </c>
      <c r="AR49" s="5">
        <v>811420</v>
      </c>
      <c r="AS49" s="5"/>
      <c r="AT49" s="8">
        <f t="shared" si="11"/>
        <v>811420</v>
      </c>
      <c r="AU49" s="5"/>
      <c r="AV49" s="5">
        <f t="shared" si="13"/>
        <v>16156199</v>
      </c>
      <c r="AX49" s="6">
        <v>46068</v>
      </c>
      <c r="AY49" s="8">
        <v>3137470</v>
      </c>
      <c r="AZ49" s="8">
        <v>547160</v>
      </c>
      <c r="BA49" s="8">
        <v>0</v>
      </c>
      <c r="BB49" s="5">
        <f t="shared" si="14"/>
        <v>3684630</v>
      </c>
      <c r="BC49" s="5">
        <v>2255430</v>
      </c>
      <c r="BD49" s="5">
        <v>143900</v>
      </c>
      <c r="BE49" s="8">
        <f t="shared" si="8"/>
        <v>2399330</v>
      </c>
      <c r="BF49" s="5">
        <v>100250</v>
      </c>
      <c r="BG49" s="5">
        <f t="shared" si="9"/>
        <v>6184210</v>
      </c>
    </row>
    <row r="50" spans="1:59">
      <c r="A50" s="6">
        <v>43880</v>
      </c>
      <c r="B50" s="8">
        <v>9293400</v>
      </c>
      <c r="C50" s="8">
        <v>4322321</v>
      </c>
      <c r="D50" s="7">
        <f t="shared" si="0"/>
        <v>13615721</v>
      </c>
      <c r="F50" s="6">
        <v>44244</v>
      </c>
      <c r="G50" s="5">
        <v>3269788</v>
      </c>
      <c r="H50" s="5">
        <v>2495100</v>
      </c>
      <c r="K50" s="7">
        <f t="shared" si="1"/>
        <v>5764888</v>
      </c>
      <c r="M50" s="6">
        <v>44608</v>
      </c>
      <c r="N50" s="5">
        <v>7744884</v>
      </c>
      <c r="O50" s="5">
        <v>2524436</v>
      </c>
      <c r="P50" s="5">
        <v>229640</v>
      </c>
      <c r="Q50" s="5">
        <f t="shared" si="2"/>
        <v>10498960</v>
      </c>
      <c r="R50" s="5">
        <v>289704</v>
      </c>
      <c r="S50" s="5">
        <f t="shared" si="3"/>
        <v>10788664</v>
      </c>
      <c r="U50" s="6">
        <v>44972</v>
      </c>
      <c r="V50" s="8">
        <v>13159936</v>
      </c>
      <c r="W50" s="8">
        <v>4388710</v>
      </c>
      <c r="X50" s="8">
        <v>276400</v>
      </c>
      <c r="Y50" s="5">
        <f t="shared" si="10"/>
        <v>17825046</v>
      </c>
      <c r="Z50" s="5"/>
      <c r="AA50" s="8">
        <v>56210</v>
      </c>
      <c r="AB50" s="5">
        <f t="shared" si="4"/>
        <v>17881256</v>
      </c>
      <c r="AD50" s="6">
        <v>45337</v>
      </c>
      <c r="AE50" s="8">
        <v>6261559</v>
      </c>
      <c r="AF50" s="8">
        <v>2176470</v>
      </c>
      <c r="AG50" s="8">
        <v>212540</v>
      </c>
      <c r="AH50" s="5">
        <f t="shared" si="5"/>
        <v>8650569</v>
      </c>
      <c r="AI50" s="5">
        <v>1434740</v>
      </c>
      <c r="AJ50" s="8">
        <v>0</v>
      </c>
      <c r="AK50" s="5">
        <f t="shared" si="12"/>
        <v>10085309</v>
      </c>
      <c r="AM50" s="6">
        <v>45703</v>
      </c>
      <c r="AN50" s="8">
        <v>1205889</v>
      </c>
      <c r="AO50" s="8">
        <v>448140</v>
      </c>
      <c r="AP50" s="8">
        <v>107340</v>
      </c>
      <c r="AQ50" s="5">
        <f t="shared" si="6"/>
        <v>1761369</v>
      </c>
      <c r="AR50" s="5">
        <v>1288080</v>
      </c>
      <c r="AS50" s="5"/>
      <c r="AT50" s="8">
        <f t="shared" si="11"/>
        <v>1288080</v>
      </c>
      <c r="AU50" s="5"/>
      <c r="AV50" s="5">
        <f t="shared" si="13"/>
        <v>3049449</v>
      </c>
      <c r="AX50" s="6">
        <v>46069</v>
      </c>
      <c r="AY50" s="8">
        <v>2495480</v>
      </c>
      <c r="AZ50" s="8">
        <v>400680</v>
      </c>
      <c r="BA50" s="8">
        <v>30360</v>
      </c>
      <c r="BB50" s="5">
        <f t="shared" si="14"/>
        <v>2926520</v>
      </c>
      <c r="BC50" s="5">
        <v>1721230</v>
      </c>
      <c r="BD50" s="5">
        <v>157500</v>
      </c>
      <c r="BE50" s="8">
        <f t="shared" si="8"/>
        <v>1878730</v>
      </c>
      <c r="BF50" s="5">
        <v>104750</v>
      </c>
      <c r="BG50" s="5">
        <f t="shared" si="9"/>
        <v>4910000</v>
      </c>
    </row>
    <row r="51" spans="1:59">
      <c r="A51" s="6">
        <v>43881</v>
      </c>
      <c r="B51" s="8">
        <v>9723324</v>
      </c>
      <c r="C51" s="8">
        <v>3675078</v>
      </c>
      <c r="D51" s="7">
        <f t="shared" si="0"/>
        <v>13398402</v>
      </c>
      <c r="F51" s="6">
        <v>44245</v>
      </c>
      <c r="G51" s="5">
        <v>9319536</v>
      </c>
      <c r="H51" s="5">
        <v>2976660</v>
      </c>
      <c r="K51" s="7">
        <f t="shared" si="1"/>
        <v>12296196</v>
      </c>
      <c r="M51" s="6">
        <v>44609</v>
      </c>
      <c r="N51" s="5">
        <v>8512295</v>
      </c>
      <c r="O51" s="5">
        <v>3533020</v>
      </c>
      <c r="P51" s="5">
        <v>455560</v>
      </c>
      <c r="Q51" s="5">
        <f t="shared" si="2"/>
        <v>12500875</v>
      </c>
      <c r="R51" s="5">
        <v>844344</v>
      </c>
      <c r="S51" s="5">
        <f t="shared" si="3"/>
        <v>13345219</v>
      </c>
      <c r="U51" s="6">
        <v>44973</v>
      </c>
      <c r="V51" s="8">
        <v>21838280</v>
      </c>
      <c r="W51" s="8">
        <v>4597160</v>
      </c>
      <c r="X51" s="8">
        <v>211980</v>
      </c>
      <c r="Y51" s="5">
        <f t="shared" si="10"/>
        <v>26647420</v>
      </c>
      <c r="Z51" s="5"/>
      <c r="AA51" s="8">
        <v>28310</v>
      </c>
      <c r="AB51" s="5">
        <f t="shared" si="4"/>
        <v>26675730</v>
      </c>
      <c r="AD51" s="6">
        <v>45338</v>
      </c>
      <c r="AE51" s="8">
        <v>2928605</v>
      </c>
      <c r="AF51" s="8">
        <v>995850</v>
      </c>
      <c r="AG51" s="8">
        <v>35820</v>
      </c>
      <c r="AH51" s="5">
        <f t="shared" si="5"/>
        <v>3960275</v>
      </c>
      <c r="AI51" s="5">
        <v>1540300</v>
      </c>
      <c r="AJ51" s="8">
        <v>11500</v>
      </c>
      <c r="AK51" s="5">
        <f t="shared" si="12"/>
        <v>5512075</v>
      </c>
      <c r="AM51" s="6">
        <v>45704</v>
      </c>
      <c r="AN51" s="8">
        <v>1300843</v>
      </c>
      <c r="AO51" s="8">
        <v>741140</v>
      </c>
      <c r="AP51" s="8">
        <v>186940</v>
      </c>
      <c r="AQ51" s="5">
        <f t="shared" si="6"/>
        <v>2228923</v>
      </c>
      <c r="AR51" s="5">
        <v>1825780</v>
      </c>
      <c r="AS51" s="5"/>
      <c r="AT51" s="8">
        <f t="shared" si="11"/>
        <v>1825780</v>
      </c>
      <c r="AU51" s="5"/>
      <c r="AV51" s="5">
        <f t="shared" si="13"/>
        <v>4054703</v>
      </c>
      <c r="AX51" s="6">
        <v>46070</v>
      </c>
      <c r="AY51" s="8">
        <v>4330800</v>
      </c>
      <c r="AZ51" s="8">
        <v>853925</v>
      </c>
      <c r="BA51" s="8">
        <v>70880</v>
      </c>
      <c r="BB51" s="5">
        <f t="shared" si="14"/>
        <v>5255605</v>
      </c>
      <c r="BC51" s="5">
        <v>2194324</v>
      </c>
      <c r="BD51" s="5">
        <v>119600</v>
      </c>
      <c r="BE51" s="8">
        <f t="shared" si="8"/>
        <v>2313924</v>
      </c>
      <c r="BF51" s="5">
        <v>209500</v>
      </c>
      <c r="BG51" s="5">
        <f t="shared" si="9"/>
        <v>7779029</v>
      </c>
    </row>
    <row r="52" spans="1:59">
      <c r="A52" s="6">
        <v>43882</v>
      </c>
      <c r="B52" s="8">
        <v>8616805</v>
      </c>
      <c r="C52" s="8">
        <v>3454220</v>
      </c>
      <c r="D52" s="7">
        <f t="shared" si="0"/>
        <v>12071025</v>
      </c>
      <c r="F52" s="6">
        <v>44246</v>
      </c>
      <c r="G52" s="5">
        <v>20781345</v>
      </c>
      <c r="H52" s="5">
        <v>1462010</v>
      </c>
      <c r="K52" s="7">
        <f t="shared" si="1"/>
        <v>22243355</v>
      </c>
      <c r="M52" s="6">
        <v>44610</v>
      </c>
      <c r="N52" s="5">
        <v>8315730</v>
      </c>
      <c r="O52" s="5">
        <v>2813870</v>
      </c>
      <c r="P52" s="5">
        <v>273920</v>
      </c>
      <c r="Q52" s="5">
        <f t="shared" si="2"/>
        <v>11403520</v>
      </c>
      <c r="R52" s="20">
        <v>313500</v>
      </c>
      <c r="S52" s="5">
        <f t="shared" si="3"/>
        <v>11717020</v>
      </c>
      <c r="U52" s="6">
        <v>44974</v>
      </c>
      <c r="V52" s="8">
        <v>2686145</v>
      </c>
      <c r="W52" s="8">
        <v>1145530</v>
      </c>
      <c r="X52" s="8">
        <v>121560</v>
      </c>
      <c r="Y52" s="5">
        <f t="shared" si="10"/>
        <v>3953235</v>
      </c>
      <c r="Z52" s="5"/>
      <c r="AA52" s="8">
        <v>0</v>
      </c>
      <c r="AB52" s="5">
        <f t="shared" si="4"/>
        <v>3953235</v>
      </c>
      <c r="AD52" s="6">
        <v>45339</v>
      </c>
      <c r="AE52" s="8">
        <v>2500289</v>
      </c>
      <c r="AF52" s="8">
        <v>388440</v>
      </c>
      <c r="AG52" s="8">
        <v>117140</v>
      </c>
      <c r="AH52" s="5">
        <f t="shared" si="5"/>
        <v>3005869</v>
      </c>
      <c r="AI52" s="5">
        <v>704960</v>
      </c>
      <c r="AJ52" s="8">
        <v>0</v>
      </c>
      <c r="AK52" s="5">
        <f t="shared" si="12"/>
        <v>3710829</v>
      </c>
      <c r="AM52" s="6">
        <v>45705</v>
      </c>
      <c r="AN52" s="8">
        <v>2308401</v>
      </c>
      <c r="AO52" s="8">
        <v>1212790</v>
      </c>
      <c r="AP52" s="8">
        <v>179210</v>
      </c>
      <c r="AQ52" s="5">
        <f t="shared" si="6"/>
        <v>3700401</v>
      </c>
      <c r="AR52" s="5">
        <v>962900</v>
      </c>
      <c r="AS52" s="5"/>
      <c r="AT52" s="8">
        <f t="shared" si="11"/>
        <v>962900</v>
      </c>
      <c r="AU52" s="5"/>
      <c r="AV52" s="5">
        <f t="shared" si="13"/>
        <v>4663301</v>
      </c>
      <c r="AX52" s="6">
        <v>46071</v>
      </c>
      <c r="AY52" s="8">
        <v>5513065</v>
      </c>
      <c r="AZ52" s="8">
        <v>817530</v>
      </c>
      <c r="BA52" s="8">
        <v>148050</v>
      </c>
      <c r="BB52" s="5">
        <f t="shared" si="14"/>
        <v>6478645</v>
      </c>
      <c r="BC52" s="5">
        <v>4888440</v>
      </c>
      <c r="BD52" s="5">
        <v>277100</v>
      </c>
      <c r="BE52" s="8">
        <f t="shared" si="8"/>
        <v>5165540</v>
      </c>
      <c r="BF52" s="5">
        <v>370890</v>
      </c>
      <c r="BG52" s="5">
        <f t="shared" si="9"/>
        <v>12015075</v>
      </c>
    </row>
    <row r="53" spans="1:59">
      <c r="A53" s="6">
        <v>43883</v>
      </c>
      <c r="B53" s="8">
        <v>2435673</v>
      </c>
      <c r="C53" s="8">
        <v>1622080</v>
      </c>
      <c r="D53" s="7">
        <f t="shared" si="0"/>
        <v>4057753</v>
      </c>
      <c r="F53" s="6">
        <v>44247</v>
      </c>
      <c r="G53" s="5">
        <v>1241331</v>
      </c>
      <c r="H53" s="5">
        <v>977049</v>
      </c>
      <c r="K53" s="7">
        <f t="shared" si="1"/>
        <v>2218380</v>
      </c>
      <c r="M53" s="6">
        <v>44611</v>
      </c>
      <c r="N53" s="5">
        <v>2546000</v>
      </c>
      <c r="O53" s="5">
        <v>1351820</v>
      </c>
      <c r="P53" s="5">
        <v>403620</v>
      </c>
      <c r="Q53" s="5">
        <f t="shared" si="2"/>
        <v>4301440</v>
      </c>
      <c r="R53" s="20">
        <v>168100</v>
      </c>
      <c r="S53" s="5">
        <f t="shared" si="3"/>
        <v>4469540</v>
      </c>
      <c r="U53" s="6">
        <v>44975</v>
      </c>
      <c r="V53" s="8">
        <v>1411546</v>
      </c>
      <c r="W53" s="8">
        <v>566280</v>
      </c>
      <c r="X53" s="8">
        <v>91040</v>
      </c>
      <c r="Y53" s="5">
        <f t="shared" si="10"/>
        <v>2068866</v>
      </c>
      <c r="Z53" s="5"/>
      <c r="AA53" s="8">
        <v>42260</v>
      </c>
      <c r="AB53" s="5">
        <f t="shared" si="4"/>
        <v>2111126</v>
      </c>
      <c r="AD53" s="6">
        <v>45340</v>
      </c>
      <c r="AE53" s="8">
        <v>2956244</v>
      </c>
      <c r="AF53" s="8">
        <v>1107240</v>
      </c>
      <c r="AG53" s="8">
        <v>110330</v>
      </c>
      <c r="AH53" s="5">
        <f t="shared" si="5"/>
        <v>4173814</v>
      </c>
      <c r="AI53" s="5">
        <v>1175320</v>
      </c>
      <c r="AJ53" s="8">
        <v>0</v>
      </c>
      <c r="AK53" s="5">
        <f t="shared" si="12"/>
        <v>5349134</v>
      </c>
      <c r="AM53" s="6">
        <v>45706</v>
      </c>
      <c r="AN53" s="8">
        <v>16178195</v>
      </c>
      <c r="AO53" s="8">
        <v>3392960</v>
      </c>
      <c r="AP53" s="8">
        <v>299240</v>
      </c>
      <c r="AQ53" s="5">
        <f t="shared" si="6"/>
        <v>19870395</v>
      </c>
      <c r="AR53" s="5">
        <v>726491</v>
      </c>
      <c r="AS53" s="5"/>
      <c r="AT53" s="8">
        <f t="shared" si="11"/>
        <v>726491</v>
      </c>
      <c r="AU53" s="5"/>
      <c r="AV53" s="5">
        <f t="shared" si="13"/>
        <v>20596886</v>
      </c>
      <c r="AX53" s="6">
        <v>46072</v>
      </c>
      <c r="AY53" s="8">
        <v>7068905</v>
      </c>
      <c r="AZ53" s="8">
        <v>1839165</v>
      </c>
      <c r="BA53" s="8">
        <v>388630</v>
      </c>
      <c r="BB53" s="5">
        <f t="shared" si="14"/>
        <v>9296700</v>
      </c>
      <c r="BC53" s="5">
        <v>1221620</v>
      </c>
      <c r="BD53" s="5">
        <v>198880</v>
      </c>
      <c r="BE53" s="8">
        <f t="shared" si="8"/>
        <v>1420500</v>
      </c>
      <c r="BF53" s="5">
        <v>258750</v>
      </c>
      <c r="BG53" s="5">
        <f t="shared" si="9"/>
        <v>10975950</v>
      </c>
    </row>
    <row r="54" spans="1:59">
      <c r="A54" s="6">
        <v>43884</v>
      </c>
      <c r="B54" s="8">
        <v>2886801</v>
      </c>
      <c r="C54" s="8">
        <v>1826095</v>
      </c>
      <c r="D54" s="7">
        <f t="shared" si="0"/>
        <v>4712896</v>
      </c>
      <c r="F54" s="6">
        <v>44248</v>
      </c>
      <c r="G54" s="5">
        <v>1760792</v>
      </c>
      <c r="H54" s="5">
        <v>1673530</v>
      </c>
      <c r="K54" s="7">
        <f t="shared" si="1"/>
        <v>3434322</v>
      </c>
      <c r="M54" s="6">
        <v>44612</v>
      </c>
      <c r="N54" s="5">
        <v>2459750</v>
      </c>
      <c r="O54" s="5">
        <v>1722180</v>
      </c>
      <c r="P54" s="5">
        <v>525160</v>
      </c>
      <c r="Q54" s="5">
        <f t="shared" si="2"/>
        <v>4707090</v>
      </c>
      <c r="R54" s="20">
        <v>318882</v>
      </c>
      <c r="S54" s="5">
        <f t="shared" si="3"/>
        <v>5025972</v>
      </c>
      <c r="U54" s="6">
        <v>44976</v>
      </c>
      <c r="V54" s="8">
        <v>1499472</v>
      </c>
      <c r="W54" s="8">
        <v>718960</v>
      </c>
      <c r="X54" s="8">
        <v>132280</v>
      </c>
      <c r="Y54" s="5">
        <f t="shared" si="10"/>
        <v>2350712</v>
      </c>
      <c r="Z54" s="5"/>
      <c r="AA54" s="8">
        <v>0</v>
      </c>
      <c r="AB54" s="5">
        <f t="shared" si="4"/>
        <v>2350712</v>
      </c>
      <c r="AD54" s="6">
        <v>45341</v>
      </c>
      <c r="AE54" s="8">
        <v>4651777</v>
      </c>
      <c r="AF54" s="8">
        <v>1574370</v>
      </c>
      <c r="AG54" s="8">
        <v>261050</v>
      </c>
      <c r="AH54" s="5">
        <f t="shared" si="5"/>
        <v>6487197</v>
      </c>
      <c r="AI54" s="5">
        <v>1203000</v>
      </c>
      <c r="AJ54" s="8">
        <v>42000</v>
      </c>
      <c r="AK54" s="5">
        <f t="shared" si="12"/>
        <v>7732197</v>
      </c>
      <c r="AM54" s="6">
        <v>45707</v>
      </c>
      <c r="AN54" s="8">
        <v>15765777</v>
      </c>
      <c r="AO54" s="8">
        <v>4682535</v>
      </c>
      <c r="AP54" s="8">
        <v>233780</v>
      </c>
      <c r="AQ54" s="5">
        <f t="shared" si="6"/>
        <v>20682092</v>
      </c>
      <c r="AR54" s="5">
        <v>825790</v>
      </c>
      <c r="AS54" s="5"/>
      <c r="AT54" s="8">
        <f t="shared" si="11"/>
        <v>825790</v>
      </c>
      <c r="AU54" s="5"/>
      <c r="AV54" s="5">
        <f t="shared" si="13"/>
        <v>21507882</v>
      </c>
      <c r="AX54" s="6">
        <v>46073</v>
      </c>
      <c r="AY54" s="8">
        <v>4962005</v>
      </c>
      <c r="AZ54" s="8">
        <v>1002815</v>
      </c>
      <c r="BA54" s="8">
        <v>71600</v>
      </c>
      <c r="BB54" s="5">
        <f t="shared" si="14"/>
        <v>6036420</v>
      </c>
      <c r="BC54" s="5">
        <v>933320</v>
      </c>
      <c r="BD54" s="5">
        <v>165500</v>
      </c>
      <c r="BE54" s="8">
        <f t="shared" si="8"/>
        <v>1098820</v>
      </c>
      <c r="BF54" s="5">
        <v>283290</v>
      </c>
      <c r="BG54" s="5">
        <f t="shared" si="9"/>
        <v>7418530</v>
      </c>
    </row>
    <row r="55" spans="1:59">
      <c r="A55" s="6">
        <v>43885</v>
      </c>
      <c r="B55" s="8">
        <v>4024489</v>
      </c>
      <c r="C55" s="8">
        <v>2859900</v>
      </c>
      <c r="D55" s="7">
        <f t="shared" si="0"/>
        <v>6884389</v>
      </c>
      <c r="F55" s="6">
        <v>44249</v>
      </c>
      <c r="G55" s="5">
        <v>3097536</v>
      </c>
      <c r="H55" s="5">
        <v>1997158</v>
      </c>
      <c r="K55" s="7">
        <f t="shared" si="1"/>
        <v>5094694</v>
      </c>
      <c r="M55" s="6">
        <v>44613</v>
      </c>
      <c r="N55" s="5">
        <v>6310845</v>
      </c>
      <c r="O55" s="5">
        <v>3017700</v>
      </c>
      <c r="P55" s="5">
        <v>572010</v>
      </c>
      <c r="Q55" s="5">
        <f t="shared" si="2"/>
        <v>9900555</v>
      </c>
      <c r="R55" s="5">
        <v>282352</v>
      </c>
      <c r="S55" s="5">
        <f t="shared" si="3"/>
        <v>10182907</v>
      </c>
      <c r="U55" s="6">
        <v>44977</v>
      </c>
      <c r="V55" s="8">
        <v>4968631</v>
      </c>
      <c r="W55" s="8">
        <v>2779560</v>
      </c>
      <c r="X55" s="8">
        <v>451080</v>
      </c>
      <c r="Y55" s="5">
        <f t="shared" si="10"/>
        <v>8199271</v>
      </c>
      <c r="Z55" s="5"/>
      <c r="AA55" s="8">
        <v>41310</v>
      </c>
      <c r="AB55" s="5">
        <f t="shared" si="4"/>
        <v>8240581</v>
      </c>
      <c r="AD55" s="6">
        <v>45342</v>
      </c>
      <c r="AE55" s="8">
        <v>14420612</v>
      </c>
      <c r="AF55" s="8">
        <v>3237120</v>
      </c>
      <c r="AG55" s="8">
        <v>109210</v>
      </c>
      <c r="AH55" s="5">
        <f t="shared" si="5"/>
        <v>17766942</v>
      </c>
      <c r="AI55" s="5">
        <v>1743220</v>
      </c>
      <c r="AJ55" s="8">
        <v>0</v>
      </c>
      <c r="AK55" s="5">
        <f t="shared" si="12"/>
        <v>19510162</v>
      </c>
      <c r="AM55" s="6">
        <v>45708</v>
      </c>
      <c r="AN55" s="8">
        <v>14537208</v>
      </c>
      <c r="AO55" s="8">
        <v>4341950</v>
      </c>
      <c r="AP55" s="8">
        <v>167080</v>
      </c>
      <c r="AQ55" s="5">
        <f>SUM(AN55:AP55)</f>
        <v>19046238</v>
      </c>
      <c r="AR55" s="5">
        <v>750460</v>
      </c>
      <c r="AS55" s="5"/>
      <c r="AT55" s="8">
        <f t="shared" si="11"/>
        <v>750460</v>
      </c>
      <c r="AU55" s="5"/>
      <c r="AV55" s="5">
        <f t="shared" si="13"/>
        <v>19796698</v>
      </c>
      <c r="AX55" s="6">
        <v>46074</v>
      </c>
      <c r="AY55" s="8">
        <v>2788395</v>
      </c>
      <c r="AZ55" s="8">
        <v>1090340</v>
      </c>
      <c r="BA55" s="8">
        <v>51500</v>
      </c>
      <c r="BB55" s="5">
        <f t="shared" si="14"/>
        <v>3930235</v>
      </c>
      <c r="BC55" s="5">
        <v>619235</v>
      </c>
      <c r="BD55" s="5">
        <v>195400</v>
      </c>
      <c r="BE55" s="8">
        <f t="shared" si="8"/>
        <v>814635</v>
      </c>
      <c r="BF55" s="5">
        <v>248670</v>
      </c>
      <c r="BG55" s="5">
        <f t="shared" si="9"/>
        <v>4993540</v>
      </c>
    </row>
    <row r="56" spans="1:59">
      <c r="A56" s="6">
        <v>43886</v>
      </c>
      <c r="B56" s="8">
        <v>8274923</v>
      </c>
      <c r="C56" s="8">
        <v>2308360</v>
      </c>
      <c r="D56" s="7">
        <f t="shared" si="0"/>
        <v>10583283</v>
      </c>
      <c r="F56" s="6">
        <v>44250</v>
      </c>
      <c r="G56" s="5">
        <v>10703600</v>
      </c>
      <c r="H56" s="5">
        <v>1979180</v>
      </c>
      <c r="K56" s="7">
        <f t="shared" si="1"/>
        <v>12682780</v>
      </c>
      <c r="M56" s="6">
        <v>44614</v>
      </c>
      <c r="N56" s="5">
        <v>9028196</v>
      </c>
      <c r="O56" s="5">
        <v>3889930</v>
      </c>
      <c r="P56" s="5">
        <v>286790</v>
      </c>
      <c r="Q56" s="5">
        <f t="shared" si="2"/>
        <v>13204916</v>
      </c>
      <c r="R56" s="5">
        <v>249042</v>
      </c>
      <c r="S56" s="5">
        <f t="shared" si="3"/>
        <v>13453958</v>
      </c>
      <c r="U56" s="6">
        <v>44978</v>
      </c>
      <c r="V56" s="8">
        <v>9465051</v>
      </c>
      <c r="W56" s="8">
        <v>3236750</v>
      </c>
      <c r="X56" s="8">
        <v>470960</v>
      </c>
      <c r="Y56" s="5">
        <f t="shared" si="10"/>
        <v>13172761</v>
      </c>
      <c r="Z56" s="5"/>
      <c r="AA56" s="8">
        <v>0</v>
      </c>
      <c r="AB56" s="5">
        <f t="shared" si="4"/>
        <v>13172761</v>
      </c>
      <c r="AD56" s="6">
        <v>45343</v>
      </c>
      <c r="AE56" s="8">
        <v>11338424</v>
      </c>
      <c r="AF56" s="8">
        <v>3514990</v>
      </c>
      <c r="AG56" s="8">
        <v>334730</v>
      </c>
      <c r="AH56" s="5">
        <f t="shared" si="5"/>
        <v>15188144</v>
      </c>
      <c r="AI56" s="5">
        <v>2010460</v>
      </c>
      <c r="AJ56" s="8">
        <v>0</v>
      </c>
      <c r="AK56" s="5">
        <f t="shared" si="12"/>
        <v>17198604</v>
      </c>
      <c r="AM56" s="6">
        <v>45709</v>
      </c>
      <c r="AN56" s="8">
        <v>9038032</v>
      </c>
      <c r="AO56" s="8">
        <v>2802590</v>
      </c>
      <c r="AP56" s="8">
        <v>25080</v>
      </c>
      <c r="AQ56" s="5">
        <f t="shared" ref="AQ56:AQ96" si="15">SUM(AN56:AP56)</f>
        <v>11865702</v>
      </c>
      <c r="AR56" s="5">
        <v>884770</v>
      </c>
      <c r="AS56" s="5"/>
      <c r="AT56" s="8">
        <f t="shared" si="11"/>
        <v>884770</v>
      </c>
      <c r="AU56" s="5"/>
      <c r="AV56" s="5">
        <f t="shared" si="13"/>
        <v>12750472</v>
      </c>
      <c r="AX56" s="6">
        <v>46075</v>
      </c>
      <c r="AY56" s="8">
        <v>3468000</v>
      </c>
      <c r="AZ56" s="8">
        <v>698395</v>
      </c>
      <c r="BA56" s="8">
        <v>78260</v>
      </c>
      <c r="BB56" s="5">
        <f t="shared" si="14"/>
        <v>4244655</v>
      </c>
      <c r="BC56" s="5">
        <v>840840</v>
      </c>
      <c r="BD56" s="5">
        <v>203400</v>
      </c>
      <c r="BE56" s="8">
        <f t="shared" si="8"/>
        <v>1044240</v>
      </c>
      <c r="BF56" s="5">
        <v>216880</v>
      </c>
      <c r="BG56" s="5">
        <f t="shared" si="9"/>
        <v>5505775</v>
      </c>
    </row>
    <row r="57" spans="1:59">
      <c r="A57" s="6">
        <v>43887</v>
      </c>
      <c r="B57" s="8">
        <v>9282862</v>
      </c>
      <c r="C57" s="8">
        <v>3321065</v>
      </c>
      <c r="D57" s="7">
        <f t="shared" si="0"/>
        <v>12603927</v>
      </c>
      <c r="F57" s="6">
        <v>44251</v>
      </c>
      <c r="G57" s="5">
        <v>9599421</v>
      </c>
      <c r="H57" s="5">
        <v>2080300</v>
      </c>
      <c r="K57" s="7">
        <f t="shared" si="1"/>
        <v>11679721</v>
      </c>
      <c r="M57" s="6">
        <v>44615</v>
      </c>
      <c r="N57" s="5">
        <v>11063543</v>
      </c>
      <c r="O57" s="5">
        <v>3896590</v>
      </c>
      <c r="P57" s="5">
        <v>708660</v>
      </c>
      <c r="Q57" s="5">
        <f t="shared" si="2"/>
        <v>15668793</v>
      </c>
      <c r="R57" s="5">
        <v>403452</v>
      </c>
      <c r="S57" s="5">
        <f t="shared" si="3"/>
        <v>16072245</v>
      </c>
      <c r="U57" s="6">
        <v>44979</v>
      </c>
      <c r="V57" s="8">
        <v>9409799</v>
      </c>
      <c r="W57" s="8">
        <v>3831910</v>
      </c>
      <c r="X57" s="8">
        <v>439040</v>
      </c>
      <c r="Y57" s="5">
        <f t="shared" si="10"/>
        <v>13680749</v>
      </c>
      <c r="Z57" s="5"/>
      <c r="AA57" s="8">
        <v>14900</v>
      </c>
      <c r="AB57" s="5">
        <f t="shared" si="4"/>
        <v>13695649</v>
      </c>
      <c r="AD57" s="6">
        <v>45344</v>
      </c>
      <c r="AE57" s="8">
        <v>9355830</v>
      </c>
      <c r="AF57" s="8">
        <v>2611040</v>
      </c>
      <c r="AG57" s="8">
        <v>321380</v>
      </c>
      <c r="AH57" s="5">
        <f t="shared" si="5"/>
        <v>12288250</v>
      </c>
      <c r="AI57" s="5">
        <v>1513340</v>
      </c>
      <c r="AJ57" s="8">
        <v>11500</v>
      </c>
      <c r="AK57" s="5">
        <f t="shared" si="12"/>
        <v>13813090</v>
      </c>
      <c r="AM57" s="6">
        <v>45710</v>
      </c>
      <c r="AN57" s="8">
        <v>5086484</v>
      </c>
      <c r="AO57" s="8">
        <v>1897410</v>
      </c>
      <c r="AP57" s="8">
        <v>122460</v>
      </c>
      <c r="AQ57" s="5">
        <f t="shared" si="15"/>
        <v>7106354</v>
      </c>
      <c r="AR57" s="5">
        <v>938490</v>
      </c>
      <c r="AS57" s="5"/>
      <c r="AT57" s="8">
        <f t="shared" si="11"/>
        <v>938490</v>
      </c>
      <c r="AU57" s="5"/>
      <c r="AV57" s="5">
        <f t="shared" si="13"/>
        <v>8044844</v>
      </c>
      <c r="AX57" s="6">
        <v>46076</v>
      </c>
      <c r="AY57" s="8">
        <v>7255680</v>
      </c>
      <c r="AZ57" s="8">
        <v>1758640</v>
      </c>
      <c r="BA57" s="8">
        <v>110240</v>
      </c>
      <c r="BB57" s="5">
        <f t="shared" si="14"/>
        <v>9124560</v>
      </c>
      <c r="BC57" s="5">
        <v>825700</v>
      </c>
      <c r="BD57" s="5">
        <v>255080</v>
      </c>
      <c r="BE57" s="8">
        <f t="shared" si="8"/>
        <v>1080780</v>
      </c>
      <c r="BF57" s="5">
        <v>123360</v>
      </c>
      <c r="BG57" s="5">
        <f t="shared" si="9"/>
        <v>10328700</v>
      </c>
    </row>
    <row r="58" spans="1:59">
      <c r="A58" s="6">
        <v>43888</v>
      </c>
      <c r="B58" s="8">
        <v>10026062</v>
      </c>
      <c r="C58" s="8">
        <v>2734245</v>
      </c>
      <c r="D58" s="7">
        <f t="shared" si="0"/>
        <v>12760307</v>
      </c>
      <c r="F58" s="6">
        <v>44252</v>
      </c>
      <c r="G58" s="5">
        <v>14774508</v>
      </c>
      <c r="H58" s="5">
        <v>2576350</v>
      </c>
      <c r="K58" s="7">
        <f t="shared" si="1"/>
        <v>17350858</v>
      </c>
      <c r="M58" s="6">
        <v>44616</v>
      </c>
      <c r="N58" s="5">
        <v>11045154</v>
      </c>
      <c r="O58" s="5">
        <v>3899155</v>
      </c>
      <c r="P58" s="5">
        <v>346600</v>
      </c>
      <c r="Q58" s="5">
        <f t="shared" si="2"/>
        <v>15290909</v>
      </c>
      <c r="R58" s="5">
        <v>330728</v>
      </c>
      <c r="S58" s="5">
        <f t="shared" si="3"/>
        <v>15621637</v>
      </c>
      <c r="U58" s="6">
        <v>44980</v>
      </c>
      <c r="V58" s="8">
        <v>7211130</v>
      </c>
      <c r="W58" s="8">
        <v>3295010</v>
      </c>
      <c r="X58" s="8">
        <v>342280</v>
      </c>
      <c r="Y58" s="5">
        <f t="shared" si="10"/>
        <v>10848420</v>
      </c>
      <c r="Z58" s="5"/>
      <c r="AA58" s="8">
        <v>43210</v>
      </c>
      <c r="AB58" s="5">
        <f t="shared" si="4"/>
        <v>10891630</v>
      </c>
      <c r="AD58" s="6">
        <v>45345</v>
      </c>
      <c r="AE58" s="8">
        <v>4397686</v>
      </c>
      <c r="AF58" s="8">
        <v>1316670</v>
      </c>
      <c r="AG58" s="8">
        <v>96690</v>
      </c>
      <c r="AH58" s="5">
        <f t="shared" si="5"/>
        <v>5811046</v>
      </c>
      <c r="AI58" s="5">
        <v>1798200</v>
      </c>
      <c r="AJ58" s="8">
        <v>0</v>
      </c>
      <c r="AK58" s="5">
        <f t="shared" si="12"/>
        <v>7609246</v>
      </c>
      <c r="AM58" s="6">
        <v>45711</v>
      </c>
      <c r="AN58" s="8">
        <v>4660654</v>
      </c>
      <c r="AO58" s="8">
        <v>2090280</v>
      </c>
      <c r="AP58" s="8">
        <v>223140</v>
      </c>
      <c r="AQ58" s="5">
        <f t="shared" si="15"/>
        <v>6974074</v>
      </c>
      <c r="AR58" s="5">
        <v>815820</v>
      </c>
      <c r="AS58" s="5"/>
      <c r="AT58" s="8">
        <f t="shared" si="11"/>
        <v>815820</v>
      </c>
      <c r="AU58" s="5"/>
      <c r="AV58" s="5">
        <f t="shared" si="13"/>
        <v>7789894</v>
      </c>
      <c r="AX58" s="6">
        <v>46077</v>
      </c>
      <c r="AY58" s="8">
        <v>7959925</v>
      </c>
      <c r="AZ58" s="8">
        <v>1632280</v>
      </c>
      <c r="BA58" s="8">
        <v>208640</v>
      </c>
      <c r="BB58" s="5">
        <f t="shared" si="14"/>
        <v>9800845</v>
      </c>
      <c r="BC58" s="5">
        <v>2460260</v>
      </c>
      <c r="BD58" s="5">
        <v>271500</v>
      </c>
      <c r="BE58" s="8">
        <f t="shared" si="8"/>
        <v>2731760</v>
      </c>
      <c r="BF58" s="5">
        <v>166000</v>
      </c>
      <c r="BG58" s="5">
        <f t="shared" si="9"/>
        <v>12698605</v>
      </c>
    </row>
    <row r="59" spans="1:59">
      <c r="A59" s="6">
        <v>43889</v>
      </c>
      <c r="B59" s="8">
        <v>5111369</v>
      </c>
      <c r="C59" s="8">
        <v>2249140</v>
      </c>
      <c r="D59" s="7">
        <f t="shared" si="0"/>
        <v>7360509</v>
      </c>
      <c r="F59" s="6">
        <v>44253</v>
      </c>
      <c r="G59" s="5">
        <v>10301102</v>
      </c>
      <c r="H59" s="5">
        <v>4950950</v>
      </c>
      <c r="K59" s="7">
        <f t="shared" si="1"/>
        <v>15252052</v>
      </c>
      <c r="M59" s="6">
        <v>44617</v>
      </c>
      <c r="N59" s="5">
        <v>9456580</v>
      </c>
      <c r="O59" s="5">
        <v>2245854</v>
      </c>
      <c r="P59" s="5">
        <v>336290</v>
      </c>
      <c r="Q59" s="5">
        <f t="shared" si="2"/>
        <v>12038724</v>
      </c>
      <c r="R59" s="21">
        <v>311538</v>
      </c>
      <c r="S59" s="5">
        <f t="shared" si="3"/>
        <v>12350262</v>
      </c>
      <c r="U59" s="6">
        <v>44981</v>
      </c>
      <c r="V59" s="8">
        <v>1722935</v>
      </c>
      <c r="W59" s="8">
        <v>952060</v>
      </c>
      <c r="X59" s="8">
        <v>91540</v>
      </c>
      <c r="Y59" s="5">
        <f t="shared" si="10"/>
        <v>2766535</v>
      </c>
      <c r="Z59" s="5"/>
      <c r="AA59" s="8">
        <v>0</v>
      </c>
      <c r="AB59" s="5">
        <f t="shared" si="4"/>
        <v>2766535</v>
      </c>
      <c r="AD59" s="6">
        <v>45346</v>
      </c>
      <c r="AE59" s="8">
        <v>2707902</v>
      </c>
      <c r="AF59" s="8">
        <v>1193950</v>
      </c>
      <c r="AG59" s="8">
        <v>77500</v>
      </c>
      <c r="AH59" s="5">
        <f t="shared" si="5"/>
        <v>3979352</v>
      </c>
      <c r="AI59" s="5">
        <v>1020960</v>
      </c>
      <c r="AJ59" s="8">
        <v>0</v>
      </c>
      <c r="AK59" s="5">
        <f t="shared" si="12"/>
        <v>5000312</v>
      </c>
      <c r="AM59" s="6">
        <v>45712</v>
      </c>
      <c r="AN59" s="8">
        <v>8114778</v>
      </c>
      <c r="AO59" s="8">
        <v>2896420</v>
      </c>
      <c r="AP59" s="8">
        <v>153560</v>
      </c>
      <c r="AQ59" s="5">
        <f t="shared" si="15"/>
        <v>11164758</v>
      </c>
      <c r="AR59" s="5">
        <v>1273250</v>
      </c>
      <c r="AS59" s="5"/>
      <c r="AT59" s="8">
        <f t="shared" si="11"/>
        <v>1273250</v>
      </c>
      <c r="AU59" s="5"/>
      <c r="AV59" s="5">
        <f t="shared" si="13"/>
        <v>12438008</v>
      </c>
      <c r="AX59" s="6">
        <v>46078</v>
      </c>
      <c r="AY59" s="8">
        <v>11954389</v>
      </c>
      <c r="AZ59" s="8">
        <v>1936585</v>
      </c>
      <c r="BA59" s="8">
        <v>271330</v>
      </c>
      <c r="BB59" s="5">
        <f t="shared" si="14"/>
        <v>14162304</v>
      </c>
      <c r="BC59" s="5">
        <v>1878310</v>
      </c>
      <c r="BD59" s="5">
        <v>217480</v>
      </c>
      <c r="BE59" s="8">
        <f t="shared" si="8"/>
        <v>2095790</v>
      </c>
      <c r="BF59" s="5">
        <v>25000</v>
      </c>
      <c r="BG59" s="5">
        <f t="shared" si="9"/>
        <v>16283094</v>
      </c>
    </row>
    <row r="60" spans="1:59">
      <c r="A60" s="6">
        <v>43890</v>
      </c>
      <c r="B60" s="8">
        <v>5279557</v>
      </c>
      <c r="C60" s="8">
        <v>2246000</v>
      </c>
      <c r="D60" s="7">
        <f t="shared" si="0"/>
        <v>7525557</v>
      </c>
      <c r="F60" s="6">
        <v>44254</v>
      </c>
      <c r="G60" s="5">
        <v>1240702</v>
      </c>
      <c r="H60" s="5">
        <v>1007560</v>
      </c>
      <c r="K60" s="7">
        <f t="shared" si="1"/>
        <v>2248262</v>
      </c>
      <c r="M60" s="6">
        <v>44618</v>
      </c>
      <c r="N60" s="5">
        <v>4524265</v>
      </c>
      <c r="O60" s="5">
        <v>1185120</v>
      </c>
      <c r="P60" s="5">
        <v>350760</v>
      </c>
      <c r="Q60" s="5">
        <f t="shared" si="2"/>
        <v>6060145</v>
      </c>
      <c r="R60" s="20">
        <v>234660</v>
      </c>
      <c r="S60" s="5">
        <f t="shared" si="3"/>
        <v>6294805</v>
      </c>
      <c r="U60" s="6">
        <v>44982</v>
      </c>
      <c r="V60" s="8">
        <v>2580413</v>
      </c>
      <c r="W60" s="8">
        <v>1529210</v>
      </c>
      <c r="X60" s="8">
        <v>106600</v>
      </c>
      <c r="Y60" s="5">
        <f t="shared" si="10"/>
        <v>4216223</v>
      </c>
      <c r="Z60" s="5"/>
      <c r="AA60" s="8">
        <v>43210</v>
      </c>
      <c r="AB60" s="5">
        <f t="shared" si="4"/>
        <v>4259433</v>
      </c>
      <c r="AD60" s="6">
        <v>45347</v>
      </c>
      <c r="AE60" s="8">
        <v>4416205</v>
      </c>
      <c r="AF60" s="8">
        <v>1286370</v>
      </c>
      <c r="AG60" s="8">
        <v>74220</v>
      </c>
      <c r="AH60" s="5">
        <f t="shared" si="5"/>
        <v>5776795</v>
      </c>
      <c r="AI60" s="5">
        <v>1344900</v>
      </c>
      <c r="AJ60" s="8">
        <v>0</v>
      </c>
      <c r="AK60" s="5">
        <f t="shared" si="12"/>
        <v>7121695</v>
      </c>
      <c r="AM60" s="6">
        <v>45713</v>
      </c>
      <c r="AN60" s="8">
        <v>12351299</v>
      </c>
      <c r="AO60" s="8">
        <v>2861200</v>
      </c>
      <c r="AP60" s="8">
        <v>178840</v>
      </c>
      <c r="AQ60" s="5">
        <f t="shared" si="15"/>
        <v>15391339</v>
      </c>
      <c r="AR60" s="5">
        <v>899440</v>
      </c>
      <c r="AS60" s="5"/>
      <c r="AT60" s="8">
        <f t="shared" si="11"/>
        <v>899440</v>
      </c>
      <c r="AU60" s="5"/>
      <c r="AV60" s="5">
        <f t="shared" si="13"/>
        <v>16290779</v>
      </c>
      <c r="AX60" s="6">
        <v>46079</v>
      </c>
      <c r="AY60" s="8">
        <v>9463600</v>
      </c>
      <c r="AZ60" s="8">
        <v>1959950</v>
      </c>
      <c r="BA60" s="8">
        <v>176660</v>
      </c>
      <c r="BB60" s="5">
        <f t="shared" si="14"/>
        <v>11600210</v>
      </c>
      <c r="BC60" s="5">
        <v>1179860</v>
      </c>
      <c r="BD60" s="5">
        <v>67800</v>
      </c>
      <c r="BE60" s="8">
        <f t="shared" si="8"/>
        <v>1247660</v>
      </c>
      <c r="BF60" s="5">
        <v>50000</v>
      </c>
      <c r="BG60" s="5">
        <f t="shared" si="9"/>
        <v>12897870</v>
      </c>
    </row>
    <row r="61" spans="1:59">
      <c r="A61" s="6">
        <v>43891</v>
      </c>
      <c r="B61" s="8">
        <v>2726087</v>
      </c>
      <c r="C61" s="8">
        <v>2174666</v>
      </c>
      <c r="D61" s="7">
        <f t="shared" si="0"/>
        <v>4900753</v>
      </c>
      <c r="F61" s="6">
        <v>44255</v>
      </c>
      <c r="G61" s="5">
        <v>2245011</v>
      </c>
      <c r="H61" s="5">
        <v>1426910</v>
      </c>
      <c r="K61" s="7">
        <f t="shared" si="1"/>
        <v>3671921</v>
      </c>
      <c r="M61" s="6">
        <v>44619</v>
      </c>
      <c r="N61" s="5">
        <v>3352909</v>
      </c>
      <c r="O61" s="5">
        <v>1159810</v>
      </c>
      <c r="P61" s="5">
        <v>270900</v>
      </c>
      <c r="Q61" s="5">
        <f t="shared" si="2"/>
        <v>4783619</v>
      </c>
      <c r="R61" s="20">
        <v>367338</v>
      </c>
      <c r="S61" s="5">
        <f t="shared" si="3"/>
        <v>5150957</v>
      </c>
      <c r="U61" s="6">
        <v>44983</v>
      </c>
      <c r="V61" s="8">
        <v>2573103</v>
      </c>
      <c r="W61" s="8">
        <v>1118020</v>
      </c>
      <c r="X61" s="8">
        <v>163340</v>
      </c>
      <c r="Y61" s="5">
        <f t="shared" si="10"/>
        <v>3854463</v>
      </c>
      <c r="Z61" s="5"/>
      <c r="AA61" s="8">
        <v>37510</v>
      </c>
      <c r="AB61" s="5">
        <f t="shared" si="4"/>
        <v>3891973</v>
      </c>
      <c r="AD61" s="6">
        <v>45348</v>
      </c>
      <c r="AE61" s="8">
        <v>9129366</v>
      </c>
      <c r="AF61" s="8">
        <v>2135810</v>
      </c>
      <c r="AG61" s="8">
        <v>255030</v>
      </c>
      <c r="AH61" s="5">
        <f t="shared" si="5"/>
        <v>11520206</v>
      </c>
      <c r="AI61" s="5">
        <v>1635780</v>
      </c>
      <c r="AJ61" s="8">
        <v>0</v>
      </c>
      <c r="AK61" s="5">
        <f t="shared" si="12"/>
        <v>13155986</v>
      </c>
      <c r="AM61" s="6">
        <v>45714</v>
      </c>
      <c r="AN61" s="8">
        <v>12008663</v>
      </c>
      <c r="AO61" s="8">
        <v>3020940</v>
      </c>
      <c r="AP61" s="8">
        <v>244800</v>
      </c>
      <c r="AQ61" s="5">
        <f t="shared" si="15"/>
        <v>15274403</v>
      </c>
      <c r="AR61" s="5">
        <v>1294170</v>
      </c>
      <c r="AS61" s="5"/>
      <c r="AT61" s="8">
        <f t="shared" si="11"/>
        <v>1294170</v>
      </c>
      <c r="AU61" s="5"/>
      <c r="AV61" s="5">
        <f t="shared" si="13"/>
        <v>16568573</v>
      </c>
      <c r="AX61" s="6">
        <v>46080</v>
      </c>
      <c r="AY61" s="8">
        <v>7657100</v>
      </c>
      <c r="AZ61" s="8">
        <v>1137275</v>
      </c>
      <c r="BA61" s="8">
        <v>113970</v>
      </c>
      <c r="BB61" s="5">
        <f t="shared" si="14"/>
        <v>8908345</v>
      </c>
      <c r="BC61" s="5">
        <v>1105910</v>
      </c>
      <c r="BD61" s="5">
        <v>75620</v>
      </c>
      <c r="BE61" s="8">
        <f t="shared" si="8"/>
        <v>1181530</v>
      </c>
      <c r="BF61" s="5">
        <v>0</v>
      </c>
      <c r="BG61" s="5">
        <f t="shared" si="9"/>
        <v>10089875</v>
      </c>
    </row>
    <row r="62" spans="1:59">
      <c r="A62" s="6">
        <v>43892</v>
      </c>
      <c r="B62" s="8">
        <v>3114016</v>
      </c>
      <c r="C62" s="8">
        <v>2790220</v>
      </c>
      <c r="D62" s="9">
        <f t="shared" si="0"/>
        <v>5904236</v>
      </c>
      <c r="F62" s="6">
        <v>44256</v>
      </c>
      <c r="G62" s="5">
        <v>3071210</v>
      </c>
      <c r="H62" s="5">
        <v>2429140</v>
      </c>
      <c r="K62" s="7">
        <f t="shared" si="1"/>
        <v>5500350</v>
      </c>
      <c r="M62" s="6">
        <v>44620</v>
      </c>
      <c r="N62" s="5">
        <v>9707494</v>
      </c>
      <c r="O62" s="5">
        <v>4140640</v>
      </c>
      <c r="P62" s="5">
        <v>423380</v>
      </c>
      <c r="Q62" s="5">
        <f t="shared" si="2"/>
        <v>14271514</v>
      </c>
      <c r="R62" s="5">
        <v>407550</v>
      </c>
      <c r="S62" s="5">
        <f t="shared" si="3"/>
        <v>14679064</v>
      </c>
      <c r="U62" s="6">
        <v>44984</v>
      </c>
      <c r="V62" s="8">
        <v>4506382</v>
      </c>
      <c r="W62" s="8">
        <v>1991549</v>
      </c>
      <c r="X62" s="8">
        <v>157950</v>
      </c>
      <c r="Y62" s="5">
        <f t="shared" si="10"/>
        <v>6655881</v>
      </c>
      <c r="Z62" s="5"/>
      <c r="AA62" s="8">
        <v>83030</v>
      </c>
      <c r="AB62" s="5">
        <f t="shared" si="4"/>
        <v>6738911</v>
      </c>
      <c r="AD62" s="6">
        <v>45349</v>
      </c>
      <c r="AE62" s="8">
        <v>15891289</v>
      </c>
      <c r="AF62" s="8">
        <v>3697220</v>
      </c>
      <c r="AG62" s="8">
        <v>115540</v>
      </c>
      <c r="AH62" s="5">
        <f t="shared" si="5"/>
        <v>19704049</v>
      </c>
      <c r="AI62" s="5">
        <v>1436360</v>
      </c>
      <c r="AJ62" s="8">
        <v>35900</v>
      </c>
      <c r="AK62" s="5">
        <f t="shared" si="12"/>
        <v>21176309</v>
      </c>
      <c r="AM62" s="6">
        <v>45715</v>
      </c>
      <c r="AN62" s="8">
        <v>15234640</v>
      </c>
      <c r="AO62" s="8">
        <v>2527144</v>
      </c>
      <c r="AP62" s="8">
        <v>272580</v>
      </c>
      <c r="AQ62" s="5">
        <f t="shared" si="15"/>
        <v>18034364</v>
      </c>
      <c r="AR62" s="5">
        <v>871800</v>
      </c>
      <c r="AS62" s="5"/>
      <c r="AT62" s="8">
        <f t="shared" si="11"/>
        <v>871800</v>
      </c>
      <c r="AU62" s="5"/>
      <c r="AV62" s="5">
        <f t="shared" si="13"/>
        <v>18906164</v>
      </c>
      <c r="AX62" s="6">
        <v>46081</v>
      </c>
      <c r="AY62" s="8">
        <v>4567525</v>
      </c>
      <c r="AZ62" s="8">
        <v>1026315</v>
      </c>
      <c r="BA62" s="8">
        <v>83130</v>
      </c>
      <c r="BB62" s="5">
        <f t="shared" si="14"/>
        <v>5676970</v>
      </c>
      <c r="BC62" s="5">
        <v>1110170</v>
      </c>
      <c r="BD62" s="5">
        <v>217300</v>
      </c>
      <c r="BE62" s="8">
        <f t="shared" si="8"/>
        <v>1327470</v>
      </c>
      <c r="BF62" s="5">
        <v>0</v>
      </c>
      <c r="BG62" s="5">
        <f t="shared" si="9"/>
        <v>7004440</v>
      </c>
    </row>
    <row r="63" spans="1:59">
      <c r="A63" s="6">
        <v>43893</v>
      </c>
      <c r="B63" s="8">
        <v>6269927</v>
      </c>
      <c r="C63" s="8">
        <v>2505970</v>
      </c>
      <c r="D63" s="7">
        <f t="shared" si="0"/>
        <v>8775897</v>
      </c>
      <c r="F63" s="6">
        <v>44257</v>
      </c>
      <c r="G63" s="5">
        <v>5026220</v>
      </c>
      <c r="H63" s="5">
        <v>3093077</v>
      </c>
      <c r="K63" s="7">
        <f t="shared" si="1"/>
        <v>8119297</v>
      </c>
      <c r="M63" s="6">
        <v>44621</v>
      </c>
      <c r="N63" s="5">
        <v>278796</v>
      </c>
      <c r="O63" s="5">
        <v>90710</v>
      </c>
      <c r="P63" s="5">
        <v>0</v>
      </c>
      <c r="Q63" s="5">
        <f t="shared" si="2"/>
        <v>369506</v>
      </c>
      <c r="R63" s="5">
        <v>285692</v>
      </c>
      <c r="S63" s="5">
        <f t="shared" si="3"/>
        <v>655198</v>
      </c>
      <c r="U63" s="6">
        <v>44985</v>
      </c>
      <c r="V63" s="8">
        <v>11683311</v>
      </c>
      <c r="W63" s="8">
        <v>4123900</v>
      </c>
      <c r="X63" s="8">
        <v>432430</v>
      </c>
      <c r="Y63" s="5">
        <f t="shared" si="10"/>
        <v>16239641</v>
      </c>
      <c r="Z63" s="5"/>
      <c r="AA63" s="8">
        <v>113985</v>
      </c>
      <c r="AB63" s="5">
        <f t="shared" si="4"/>
        <v>16353626</v>
      </c>
      <c r="AD63" s="6">
        <v>45350</v>
      </c>
      <c r="AE63" s="8">
        <v>9677363</v>
      </c>
      <c r="AF63" s="8">
        <v>2354350</v>
      </c>
      <c r="AG63" s="8">
        <v>92950</v>
      </c>
      <c r="AH63" s="5">
        <f t="shared" si="5"/>
        <v>12124663</v>
      </c>
      <c r="AI63" s="5">
        <v>1684740</v>
      </c>
      <c r="AJ63" s="8">
        <v>32000</v>
      </c>
      <c r="AK63" s="5">
        <f t="shared" si="12"/>
        <v>13841403</v>
      </c>
      <c r="AM63" s="6">
        <v>45716</v>
      </c>
      <c r="AN63" s="8">
        <v>13225221</v>
      </c>
      <c r="AO63" s="8">
        <v>2266400</v>
      </c>
      <c r="AP63" s="8">
        <v>75500</v>
      </c>
      <c r="AQ63" s="5">
        <f t="shared" si="15"/>
        <v>15567121</v>
      </c>
      <c r="AR63" s="5">
        <v>999400</v>
      </c>
      <c r="AS63" s="5"/>
      <c r="AT63" s="8">
        <f t="shared" si="11"/>
        <v>999400</v>
      </c>
      <c r="AU63" s="5"/>
      <c r="AV63" s="5">
        <f t="shared" si="13"/>
        <v>16566521</v>
      </c>
      <c r="AX63" s="6">
        <v>46082</v>
      </c>
      <c r="AY63" s="8">
        <v>2556980</v>
      </c>
      <c r="AZ63" s="8">
        <v>602530</v>
      </c>
      <c r="BA63" s="8">
        <v>134650</v>
      </c>
      <c r="BB63" s="5">
        <f t="shared" si="14"/>
        <v>3294160</v>
      </c>
      <c r="BC63" s="5">
        <v>1173240</v>
      </c>
      <c r="BD63" s="5">
        <v>155500</v>
      </c>
      <c r="BE63" s="8">
        <f t="shared" si="8"/>
        <v>1328740</v>
      </c>
      <c r="BF63" s="5">
        <v>1862230</v>
      </c>
      <c r="BG63" s="5">
        <f t="shared" si="9"/>
        <v>6485130</v>
      </c>
    </row>
    <row r="64" spans="1:59">
      <c r="A64" s="6">
        <v>43894</v>
      </c>
      <c r="B64" s="8">
        <v>7265783</v>
      </c>
      <c r="C64" s="8">
        <v>3156535</v>
      </c>
      <c r="D64" s="7">
        <f t="shared" si="0"/>
        <v>10422318</v>
      </c>
      <c r="F64" s="6">
        <v>44258</v>
      </c>
      <c r="G64" s="5">
        <v>7154646</v>
      </c>
      <c r="H64" s="5">
        <v>1942150</v>
      </c>
      <c r="I64" s="8">
        <v>15400</v>
      </c>
      <c r="K64" s="7">
        <f t="shared" si="1"/>
        <v>9112196</v>
      </c>
      <c r="M64" s="6">
        <v>44622</v>
      </c>
      <c r="N64" s="5">
        <v>12101361</v>
      </c>
      <c r="O64" s="5">
        <v>4138710</v>
      </c>
      <c r="P64" s="5">
        <v>463820</v>
      </c>
      <c r="Q64" s="5">
        <f t="shared" si="2"/>
        <v>16703891</v>
      </c>
      <c r="R64" s="5">
        <v>354962</v>
      </c>
      <c r="S64" s="5">
        <f t="shared" si="3"/>
        <v>17058853</v>
      </c>
      <c r="U64" s="6">
        <v>44986</v>
      </c>
      <c r="V64" s="8">
        <v>1068890</v>
      </c>
      <c r="W64" s="8">
        <v>857050</v>
      </c>
      <c r="X64" s="8">
        <v>376200</v>
      </c>
      <c r="Y64" s="5">
        <f t="shared" si="10"/>
        <v>2302140</v>
      </c>
      <c r="Z64" s="5"/>
      <c r="AA64" s="8">
        <v>14900</v>
      </c>
      <c r="AB64" s="5">
        <f t="shared" si="4"/>
        <v>2317040</v>
      </c>
      <c r="AD64" s="6">
        <v>45351</v>
      </c>
      <c r="AE64" s="8">
        <v>13649218</v>
      </c>
      <c r="AF64" s="8">
        <v>3715840</v>
      </c>
      <c r="AG64" s="8">
        <v>18800</v>
      </c>
      <c r="AH64" s="5">
        <f>SUM(AE64:AG64)</f>
        <v>17383858</v>
      </c>
      <c r="AI64" s="5">
        <v>1077620</v>
      </c>
      <c r="AJ64" s="8">
        <v>0</v>
      </c>
      <c r="AK64" s="5">
        <f>AH64+AJ64+AI64</f>
        <v>18461478</v>
      </c>
      <c r="AM64" s="6">
        <v>45717</v>
      </c>
      <c r="AN64" s="8">
        <v>2621380</v>
      </c>
      <c r="AO64" s="8">
        <v>1230270</v>
      </c>
      <c r="AP64" s="8">
        <v>274480</v>
      </c>
      <c r="AQ64" s="5">
        <f t="shared" si="15"/>
        <v>4126130</v>
      </c>
      <c r="AR64" s="5">
        <v>602720</v>
      </c>
      <c r="AS64" s="5"/>
      <c r="AT64" s="8">
        <f t="shared" si="11"/>
        <v>602720</v>
      </c>
      <c r="AU64" s="5"/>
      <c r="AV64" s="5">
        <f t="shared" si="13"/>
        <v>4728850</v>
      </c>
      <c r="AX64" s="6">
        <v>46083</v>
      </c>
      <c r="AY64" s="8">
        <v>1492410</v>
      </c>
      <c r="AZ64" s="8">
        <v>502630</v>
      </c>
      <c r="BA64" s="8">
        <v>189880</v>
      </c>
      <c r="BB64" s="5">
        <f t="shared" si="14"/>
        <v>2184920</v>
      </c>
      <c r="BC64" s="5">
        <v>1923730</v>
      </c>
      <c r="BD64" s="5">
        <v>464960</v>
      </c>
      <c r="BE64" s="8">
        <f t="shared" si="8"/>
        <v>2388690</v>
      </c>
      <c r="BF64" s="5">
        <v>900280</v>
      </c>
      <c r="BG64" s="5">
        <f t="shared" si="9"/>
        <v>5473890</v>
      </c>
    </row>
    <row r="65" spans="1:59">
      <c r="A65" s="6">
        <v>43895</v>
      </c>
      <c r="B65" s="8">
        <v>8638762</v>
      </c>
      <c r="C65" s="8">
        <v>2962320</v>
      </c>
      <c r="D65" s="7">
        <f t="shared" si="0"/>
        <v>11601082</v>
      </c>
      <c r="F65" s="6">
        <v>44259</v>
      </c>
      <c r="G65" s="5">
        <v>11350367</v>
      </c>
      <c r="H65" s="5">
        <v>3689940</v>
      </c>
      <c r="I65" s="8">
        <v>20900</v>
      </c>
      <c r="K65" s="7">
        <f t="shared" si="1"/>
        <v>15061207</v>
      </c>
      <c r="M65" s="6">
        <v>44623</v>
      </c>
      <c r="N65" s="5">
        <v>11821363</v>
      </c>
      <c r="O65" s="5">
        <v>4783560</v>
      </c>
      <c r="P65" s="5">
        <v>68610</v>
      </c>
      <c r="Q65" s="5">
        <f t="shared" si="2"/>
        <v>16673533</v>
      </c>
      <c r="R65" s="5">
        <v>365022</v>
      </c>
      <c r="S65" s="5">
        <f t="shared" si="3"/>
        <v>17038555</v>
      </c>
      <c r="U65" s="6">
        <v>44987</v>
      </c>
      <c r="V65" s="8">
        <v>1856664</v>
      </c>
      <c r="W65" s="8">
        <v>1229820</v>
      </c>
      <c r="X65" s="8">
        <v>41680</v>
      </c>
      <c r="Y65" s="5">
        <f>SUM(V65:X65)</f>
        <v>3128164</v>
      </c>
      <c r="Z65" s="5"/>
      <c r="AA65" s="8">
        <v>14900</v>
      </c>
      <c r="AB65" s="5">
        <f t="shared" si="4"/>
        <v>3143064</v>
      </c>
      <c r="AD65" s="6">
        <v>45352</v>
      </c>
      <c r="AE65" s="8">
        <v>1994062</v>
      </c>
      <c r="AF65" s="8">
        <v>737570</v>
      </c>
      <c r="AG65" s="8">
        <v>116110</v>
      </c>
      <c r="AH65" s="5">
        <f t="shared" ref="AH65:AH128" si="16">SUM(AE65:AG65)</f>
        <v>2847742</v>
      </c>
      <c r="AI65" s="5">
        <v>1297260</v>
      </c>
      <c r="AJ65" s="8">
        <v>0</v>
      </c>
      <c r="AK65" s="5">
        <f t="shared" si="12"/>
        <v>4145002</v>
      </c>
      <c r="AM65" s="6">
        <v>45718</v>
      </c>
      <c r="AN65" s="8">
        <v>1520307</v>
      </c>
      <c r="AO65" s="8">
        <v>912890</v>
      </c>
      <c r="AP65" s="8">
        <v>262290</v>
      </c>
      <c r="AQ65" s="5">
        <f t="shared" si="15"/>
        <v>2695487</v>
      </c>
      <c r="AR65" s="5">
        <v>1145070</v>
      </c>
      <c r="AS65" s="5"/>
      <c r="AT65" s="8">
        <f t="shared" si="11"/>
        <v>1145070</v>
      </c>
      <c r="AU65" s="5"/>
      <c r="AV65" s="5">
        <f t="shared" si="13"/>
        <v>3840557</v>
      </c>
      <c r="AX65" s="6">
        <v>46084</v>
      </c>
      <c r="AY65" s="8">
        <v>15538440</v>
      </c>
      <c r="AZ65" s="8">
        <v>1896050</v>
      </c>
      <c r="BA65" s="8">
        <v>24000</v>
      </c>
      <c r="BB65" s="5">
        <f t="shared" si="14"/>
        <v>17458490</v>
      </c>
      <c r="BC65" s="5">
        <v>684050</v>
      </c>
      <c r="BD65" s="5">
        <v>105700</v>
      </c>
      <c r="BE65" s="8">
        <f t="shared" si="8"/>
        <v>789750</v>
      </c>
      <c r="BF65" s="5">
        <v>725820</v>
      </c>
      <c r="BG65" s="5">
        <f t="shared" si="9"/>
        <v>18974060</v>
      </c>
    </row>
    <row r="66" spans="1:59">
      <c r="A66" s="6">
        <v>43896</v>
      </c>
      <c r="D66" s="7">
        <f t="shared" si="0"/>
        <v>0</v>
      </c>
      <c r="F66" s="6">
        <v>44260</v>
      </c>
      <c r="G66" s="5">
        <v>5974207</v>
      </c>
      <c r="H66" s="5">
        <v>3284690</v>
      </c>
      <c r="K66" s="7">
        <f t="shared" si="1"/>
        <v>9258897</v>
      </c>
      <c r="M66" s="6">
        <v>44624</v>
      </c>
      <c r="N66" s="5">
        <v>10378740</v>
      </c>
      <c r="O66" s="5">
        <v>3569730</v>
      </c>
      <c r="P66" s="5">
        <v>305290</v>
      </c>
      <c r="Q66" s="5">
        <f t="shared" si="2"/>
        <v>14253760</v>
      </c>
      <c r="R66" s="20">
        <v>210900</v>
      </c>
      <c r="S66" s="5">
        <f t="shared" si="3"/>
        <v>14464660</v>
      </c>
      <c r="U66" s="6">
        <v>44988</v>
      </c>
      <c r="V66" s="8">
        <v>8049552</v>
      </c>
      <c r="W66" s="8">
        <v>2607190</v>
      </c>
      <c r="X66" s="8">
        <v>200410</v>
      </c>
      <c r="Y66" s="5">
        <f t="shared" si="10"/>
        <v>10857152</v>
      </c>
      <c r="Z66" s="5"/>
      <c r="AA66" s="8">
        <v>42260</v>
      </c>
      <c r="AB66" s="5">
        <f t="shared" si="4"/>
        <v>10899412</v>
      </c>
      <c r="AD66" s="6">
        <v>45353</v>
      </c>
      <c r="AE66" s="8">
        <v>630588</v>
      </c>
      <c r="AF66" s="8">
        <v>219370</v>
      </c>
      <c r="AG66" s="8">
        <v>46010</v>
      </c>
      <c r="AH66" s="5">
        <f t="shared" si="16"/>
        <v>895968</v>
      </c>
      <c r="AI66" s="5">
        <v>1114600</v>
      </c>
      <c r="AJ66" s="8">
        <v>0</v>
      </c>
      <c r="AK66" s="5">
        <f>AH66+AJ66+AI66</f>
        <v>2010568</v>
      </c>
      <c r="AM66" s="6">
        <v>45719</v>
      </c>
      <c r="AN66" s="8">
        <v>2160923</v>
      </c>
      <c r="AO66" s="8">
        <v>1012320</v>
      </c>
      <c r="AP66" s="8">
        <v>123300</v>
      </c>
      <c r="AQ66" s="5">
        <f t="shared" si="15"/>
        <v>3296543</v>
      </c>
      <c r="AR66" s="5">
        <v>1098340</v>
      </c>
      <c r="AS66" s="5"/>
      <c r="AT66" s="8">
        <f t="shared" si="11"/>
        <v>1098340</v>
      </c>
      <c r="AU66" s="5"/>
      <c r="AV66" s="5">
        <f t="shared" si="13"/>
        <v>4394883</v>
      </c>
      <c r="AX66" s="6">
        <v>46085</v>
      </c>
      <c r="AY66" s="8">
        <v>17224730</v>
      </c>
      <c r="AZ66" s="8">
        <v>2814390</v>
      </c>
      <c r="BA66" s="8">
        <v>201420</v>
      </c>
      <c r="BB66" s="5">
        <f t="shared" si="14"/>
        <v>20240540</v>
      </c>
      <c r="BC66" s="5">
        <v>716940</v>
      </c>
      <c r="BD66" s="5">
        <v>187400</v>
      </c>
      <c r="BE66" s="8">
        <f t="shared" si="8"/>
        <v>904340</v>
      </c>
      <c r="BF66" s="5">
        <v>557770</v>
      </c>
      <c r="BG66" s="5">
        <f t="shared" si="9"/>
        <v>21702650</v>
      </c>
    </row>
    <row r="67" spans="1:59">
      <c r="A67" s="6">
        <v>43897</v>
      </c>
      <c r="D67" s="7">
        <f t="shared" si="0"/>
        <v>0</v>
      </c>
      <c r="F67" s="6">
        <v>44261</v>
      </c>
      <c r="G67" s="5">
        <v>1683034</v>
      </c>
      <c r="H67" s="5">
        <v>1147780</v>
      </c>
      <c r="K67" s="7">
        <f t="shared" si="1"/>
        <v>2830814</v>
      </c>
      <c r="M67" s="6">
        <v>44625</v>
      </c>
      <c r="N67" s="5">
        <v>2210750</v>
      </c>
      <c r="O67" s="5">
        <v>1624440</v>
      </c>
      <c r="P67" s="5">
        <v>220150</v>
      </c>
      <c r="Q67" s="5">
        <f t="shared" si="2"/>
        <v>4055340</v>
      </c>
      <c r="R67" s="22">
        <v>188100</v>
      </c>
      <c r="S67" s="5">
        <f t="shared" si="3"/>
        <v>4243440</v>
      </c>
      <c r="U67" s="6">
        <v>44989</v>
      </c>
      <c r="V67" s="8">
        <v>337802</v>
      </c>
      <c r="W67" s="8">
        <v>346610</v>
      </c>
      <c r="X67" s="8">
        <v>192030</v>
      </c>
      <c r="Y67" s="5">
        <f t="shared" si="10"/>
        <v>876442</v>
      </c>
      <c r="Z67" s="5"/>
      <c r="AA67" s="8">
        <v>0</v>
      </c>
      <c r="AB67" s="5">
        <f t="shared" si="4"/>
        <v>876442</v>
      </c>
      <c r="AD67" s="6">
        <v>45354</v>
      </c>
      <c r="AE67" s="8">
        <v>435405</v>
      </c>
      <c r="AF67" s="8">
        <v>547600</v>
      </c>
      <c r="AG67" s="8">
        <v>246450</v>
      </c>
      <c r="AH67" s="5">
        <f t="shared" si="16"/>
        <v>1229455</v>
      </c>
      <c r="AI67" s="5">
        <v>835280</v>
      </c>
      <c r="AJ67" s="8">
        <v>0</v>
      </c>
      <c r="AK67" s="5">
        <f t="shared" si="12"/>
        <v>2064735</v>
      </c>
      <c r="AM67" s="6">
        <v>45720</v>
      </c>
      <c r="AN67" s="8">
        <v>1966644</v>
      </c>
      <c r="AO67" s="8">
        <v>1307850</v>
      </c>
      <c r="AP67" s="8">
        <v>219100</v>
      </c>
      <c r="AQ67" s="5">
        <f t="shared" si="15"/>
        <v>3493594</v>
      </c>
      <c r="AR67" s="5">
        <v>1402030</v>
      </c>
      <c r="AS67" s="5"/>
      <c r="AT67" s="8">
        <f t="shared" si="11"/>
        <v>1402030</v>
      </c>
      <c r="AU67" s="5"/>
      <c r="AV67" s="5">
        <f t="shared" si="13"/>
        <v>4895624</v>
      </c>
      <c r="AX67" s="6">
        <v>46086</v>
      </c>
      <c r="AY67" s="8">
        <v>17021130</v>
      </c>
      <c r="AZ67" s="8">
        <v>3050240</v>
      </c>
      <c r="BA67" s="8">
        <v>282160</v>
      </c>
      <c r="BB67" s="5">
        <f t="shared" si="14"/>
        <v>20353530</v>
      </c>
      <c r="BC67" s="5">
        <v>1378170</v>
      </c>
      <c r="BD67" s="5">
        <v>217700</v>
      </c>
      <c r="BE67" s="8">
        <f t="shared" si="8"/>
        <v>1595870</v>
      </c>
      <c r="BF67" s="5">
        <v>0</v>
      </c>
      <c r="BG67" s="5">
        <f t="shared" si="9"/>
        <v>21949400</v>
      </c>
    </row>
    <row r="68" spans="1:59">
      <c r="A68" s="6">
        <v>43898</v>
      </c>
      <c r="B68" s="8">
        <v>8542630</v>
      </c>
      <c r="C68" s="8">
        <v>2657390</v>
      </c>
      <c r="D68" s="7">
        <f t="shared" ref="D68:D131" si="17">SUM(B68:C68)</f>
        <v>11200020</v>
      </c>
      <c r="F68" s="6">
        <v>44262</v>
      </c>
      <c r="G68" s="5">
        <v>1407917</v>
      </c>
      <c r="H68" s="5">
        <v>1664760</v>
      </c>
      <c r="K68" s="7">
        <f t="shared" ref="K68:K131" si="18">SUM(G68:I68)</f>
        <v>3072677</v>
      </c>
      <c r="M68" s="6">
        <v>44626</v>
      </c>
      <c r="N68" s="5">
        <v>2522820</v>
      </c>
      <c r="O68" s="5">
        <v>1950840</v>
      </c>
      <c r="P68" s="5">
        <v>273000</v>
      </c>
      <c r="Q68" s="5">
        <f t="shared" ref="Q68:Q251" si="19">SUM(N68:P68)</f>
        <v>4746660</v>
      </c>
      <c r="R68" s="20">
        <v>236622</v>
      </c>
      <c r="S68" s="5">
        <f t="shared" ref="S68:S166" si="20">Q68+R68</f>
        <v>4983282</v>
      </c>
      <c r="U68" s="6">
        <v>44990</v>
      </c>
      <c r="V68" s="8">
        <v>988405</v>
      </c>
      <c r="W68" s="8">
        <v>952880</v>
      </c>
      <c r="X68" s="8">
        <v>278670</v>
      </c>
      <c r="Y68" s="5">
        <f t="shared" si="10"/>
        <v>2219955</v>
      </c>
      <c r="Z68" s="5"/>
      <c r="AA68" s="8">
        <v>54720</v>
      </c>
      <c r="AB68" s="5">
        <f t="shared" si="4"/>
        <v>2274675</v>
      </c>
      <c r="AD68" s="6">
        <v>45355</v>
      </c>
      <c r="AE68" s="8">
        <v>13927663</v>
      </c>
      <c r="AF68" s="8">
        <v>3086270</v>
      </c>
      <c r="AG68" s="8">
        <v>303160</v>
      </c>
      <c r="AH68" s="5">
        <f t="shared" si="16"/>
        <v>17317093</v>
      </c>
      <c r="AI68" s="5">
        <v>1839120</v>
      </c>
      <c r="AJ68" s="8">
        <v>0</v>
      </c>
      <c r="AK68" s="5">
        <f t="shared" si="12"/>
        <v>19156213</v>
      </c>
      <c r="AM68" s="6">
        <v>45721</v>
      </c>
      <c r="AN68" s="8">
        <v>3444256</v>
      </c>
      <c r="AO68" s="8">
        <v>1171610</v>
      </c>
      <c r="AP68" s="8">
        <v>135540</v>
      </c>
      <c r="AQ68" s="5">
        <f t="shared" si="15"/>
        <v>4751406</v>
      </c>
      <c r="AR68" s="5">
        <v>1396370</v>
      </c>
      <c r="AS68" s="5"/>
      <c r="AT68" s="8">
        <f t="shared" si="11"/>
        <v>1396370</v>
      </c>
      <c r="AU68" s="5"/>
      <c r="AV68" s="5">
        <f t="shared" si="13"/>
        <v>6147776</v>
      </c>
      <c r="AX68" s="6">
        <v>46087</v>
      </c>
      <c r="AY68" s="8">
        <v>10698380</v>
      </c>
      <c r="AZ68" s="8">
        <v>1888230</v>
      </c>
      <c r="BA68" s="8">
        <v>161340</v>
      </c>
      <c r="BB68" s="5">
        <f t="shared" si="14"/>
        <v>12747950</v>
      </c>
      <c r="BC68" s="5">
        <v>466860</v>
      </c>
      <c r="BD68" s="5">
        <v>127780</v>
      </c>
      <c r="BE68" s="8">
        <f t="shared" si="8"/>
        <v>594640</v>
      </c>
      <c r="BF68" s="5">
        <v>57700</v>
      </c>
      <c r="BG68" s="5">
        <f t="shared" ref="BG68:BG131" si="21">BB68+BE68+BF68</f>
        <v>13400290</v>
      </c>
    </row>
    <row r="69" spans="1:59">
      <c r="A69" s="6">
        <v>43899</v>
      </c>
      <c r="B69" s="8">
        <v>1204325</v>
      </c>
      <c r="C69" s="8">
        <v>1267055</v>
      </c>
      <c r="D69" s="7">
        <f t="shared" si="17"/>
        <v>2471380</v>
      </c>
      <c r="F69" s="6">
        <v>44263</v>
      </c>
      <c r="G69" s="5">
        <v>11232004</v>
      </c>
      <c r="H69" s="5">
        <v>3994700</v>
      </c>
      <c r="I69" s="8">
        <v>477260</v>
      </c>
      <c r="K69" s="7">
        <f t="shared" si="18"/>
        <v>15703964</v>
      </c>
      <c r="M69" s="6">
        <v>44627</v>
      </c>
      <c r="N69" s="5">
        <v>9709099</v>
      </c>
      <c r="O69" s="5">
        <v>3647310</v>
      </c>
      <c r="P69" s="5">
        <v>457700</v>
      </c>
      <c r="Q69" s="5">
        <f t="shared" si="19"/>
        <v>13814109</v>
      </c>
      <c r="R69" s="5">
        <v>344198</v>
      </c>
      <c r="S69" s="5">
        <f t="shared" si="20"/>
        <v>14158307</v>
      </c>
      <c r="U69" s="6">
        <v>44991</v>
      </c>
      <c r="V69" s="8">
        <v>9773156</v>
      </c>
      <c r="W69" s="8">
        <v>3238840</v>
      </c>
      <c r="X69" s="8">
        <v>343320</v>
      </c>
      <c r="Y69" s="5">
        <f t="shared" ref="Y69:Y132" si="22">SUM(V69:X69)</f>
        <v>13355316</v>
      </c>
      <c r="Z69" s="5"/>
      <c r="AA69" s="8">
        <v>57160</v>
      </c>
      <c r="AB69" s="5">
        <f t="shared" ref="AB69:AB132" si="23">Y69+AA69</f>
        <v>13412476</v>
      </c>
      <c r="AD69" s="6">
        <v>45356</v>
      </c>
      <c r="AE69" s="8">
        <v>14738416</v>
      </c>
      <c r="AF69" s="8">
        <v>3084930</v>
      </c>
      <c r="AG69" s="8">
        <v>236080</v>
      </c>
      <c r="AH69" s="5">
        <f t="shared" si="16"/>
        <v>18059426</v>
      </c>
      <c r="AI69" s="5">
        <v>2667680</v>
      </c>
      <c r="AJ69" s="8">
        <v>0</v>
      </c>
      <c r="AK69" s="5">
        <f t="shared" si="12"/>
        <v>20727106</v>
      </c>
      <c r="AM69" s="6">
        <v>45722</v>
      </c>
      <c r="AN69" s="8">
        <v>16236083</v>
      </c>
      <c r="AO69" s="8">
        <v>2790690</v>
      </c>
      <c r="AP69" s="8">
        <v>188980</v>
      </c>
      <c r="AQ69" s="5">
        <f t="shared" si="15"/>
        <v>19215753</v>
      </c>
      <c r="AR69" s="5">
        <v>1224470</v>
      </c>
      <c r="AS69" s="5"/>
      <c r="AT69" s="8">
        <f t="shared" ref="AT69:AT132" si="24">AR69+AS69</f>
        <v>1224470</v>
      </c>
      <c r="AU69" s="5"/>
      <c r="AV69" s="5">
        <f t="shared" si="13"/>
        <v>20440223</v>
      </c>
      <c r="AX69" s="6">
        <v>46088</v>
      </c>
      <c r="AY69" s="8">
        <v>5472370</v>
      </c>
      <c r="AZ69" s="8">
        <v>771080</v>
      </c>
      <c r="BA69" s="8">
        <v>132730</v>
      </c>
      <c r="BB69" s="5">
        <f t="shared" si="14"/>
        <v>6376180</v>
      </c>
      <c r="BC69" s="5">
        <v>212880</v>
      </c>
      <c r="BD69" s="5">
        <v>219700</v>
      </c>
      <c r="BE69" s="8">
        <f t="shared" ref="BE69:BE138" si="25">BC69+BD69</f>
        <v>432580</v>
      </c>
      <c r="BF69" s="5">
        <v>0</v>
      </c>
      <c r="BG69" s="5">
        <f t="shared" si="21"/>
        <v>6808760</v>
      </c>
    </row>
    <row r="70" spans="1:59">
      <c r="A70" s="6">
        <v>43900</v>
      </c>
      <c r="B70" s="8">
        <v>11165082</v>
      </c>
      <c r="C70" s="8">
        <v>3289650</v>
      </c>
      <c r="D70" s="7">
        <f t="shared" si="17"/>
        <v>14454732</v>
      </c>
      <c r="F70" s="6">
        <v>44264</v>
      </c>
      <c r="G70" s="5">
        <v>12701700</v>
      </c>
      <c r="H70" s="5">
        <v>4730730</v>
      </c>
      <c r="I70" s="8">
        <v>305540</v>
      </c>
      <c r="K70" s="7">
        <f t="shared" si="18"/>
        <v>17737970</v>
      </c>
      <c r="M70" s="6">
        <v>44628</v>
      </c>
      <c r="N70" s="5">
        <v>7680391</v>
      </c>
      <c r="O70" s="5">
        <v>2356580</v>
      </c>
      <c r="P70" s="5">
        <v>270490</v>
      </c>
      <c r="Q70" s="5">
        <f t="shared" si="19"/>
        <v>10307461</v>
      </c>
      <c r="R70" s="5">
        <v>104400</v>
      </c>
      <c r="S70" s="5">
        <f t="shared" si="20"/>
        <v>10411861</v>
      </c>
      <c r="U70" s="6">
        <v>44992</v>
      </c>
      <c r="V70" s="8">
        <v>10631280</v>
      </c>
      <c r="W70" s="8">
        <v>3446000</v>
      </c>
      <c r="X70" s="8">
        <v>93650</v>
      </c>
      <c r="Y70" s="5">
        <f t="shared" si="22"/>
        <v>14170930</v>
      </c>
      <c r="Z70" s="5"/>
      <c r="AA70" s="8">
        <v>43210</v>
      </c>
      <c r="AB70" s="5">
        <f t="shared" si="23"/>
        <v>14214140</v>
      </c>
      <c r="AD70" s="6">
        <v>45357</v>
      </c>
      <c r="AE70" s="8">
        <v>10162930</v>
      </c>
      <c r="AF70" s="8">
        <v>1966180</v>
      </c>
      <c r="AG70" s="8">
        <v>383130</v>
      </c>
      <c r="AH70" s="5">
        <f t="shared" si="16"/>
        <v>12512240</v>
      </c>
      <c r="AI70" s="5">
        <v>1361180</v>
      </c>
      <c r="AJ70" s="8">
        <v>0</v>
      </c>
      <c r="AK70" s="5">
        <f t="shared" ref="AK70:AK131" si="26">AH70+AJ70+AI70</f>
        <v>13873420</v>
      </c>
      <c r="AM70" s="6">
        <v>45723</v>
      </c>
      <c r="AN70" s="8">
        <v>14558184</v>
      </c>
      <c r="AO70" s="8">
        <v>3001540</v>
      </c>
      <c r="AP70" s="8">
        <v>276640</v>
      </c>
      <c r="AQ70" s="5">
        <f t="shared" si="15"/>
        <v>17836364</v>
      </c>
      <c r="AR70" s="5">
        <v>760520</v>
      </c>
      <c r="AS70" s="5"/>
      <c r="AT70" s="8">
        <f t="shared" si="24"/>
        <v>760520</v>
      </c>
      <c r="AU70" s="5"/>
      <c r="AV70" s="5">
        <f t="shared" si="13"/>
        <v>18596884</v>
      </c>
      <c r="AX70" s="6">
        <v>46089</v>
      </c>
      <c r="AY70" s="8">
        <v>6994470</v>
      </c>
      <c r="AZ70" s="8">
        <v>979750</v>
      </c>
      <c r="BA70" s="8">
        <v>90900</v>
      </c>
      <c r="BB70" s="5">
        <f t="shared" si="14"/>
        <v>8065120</v>
      </c>
      <c r="BC70" s="5">
        <v>482340</v>
      </c>
      <c r="BD70" s="5">
        <v>315000</v>
      </c>
      <c r="BE70" s="8">
        <f t="shared" si="25"/>
        <v>797340</v>
      </c>
      <c r="BF70" s="5">
        <v>0</v>
      </c>
      <c r="BG70" s="5">
        <f t="shared" si="21"/>
        <v>8862460</v>
      </c>
    </row>
    <row r="71" spans="1:59">
      <c r="A71" s="6">
        <v>43901</v>
      </c>
      <c r="B71" s="8">
        <v>10111766</v>
      </c>
      <c r="C71" s="8">
        <v>3551755</v>
      </c>
      <c r="D71" s="7">
        <f t="shared" si="17"/>
        <v>13663521</v>
      </c>
      <c r="F71" s="6">
        <v>44265</v>
      </c>
      <c r="G71" s="5">
        <v>12560029</v>
      </c>
      <c r="H71" s="5">
        <v>4379400</v>
      </c>
      <c r="I71" s="8">
        <v>151300</v>
      </c>
      <c r="K71" s="7">
        <f t="shared" si="18"/>
        <v>17090729</v>
      </c>
      <c r="M71" s="6">
        <v>44629</v>
      </c>
      <c r="N71" s="5">
        <v>5512769</v>
      </c>
      <c r="O71" s="5">
        <v>1483610</v>
      </c>
      <c r="P71" s="5">
        <v>150330</v>
      </c>
      <c r="Q71" s="5">
        <f t="shared" si="19"/>
        <v>7146709</v>
      </c>
      <c r="R71" s="5">
        <v>307754</v>
      </c>
      <c r="S71" s="5">
        <f t="shared" si="20"/>
        <v>7454463</v>
      </c>
      <c r="U71" s="6">
        <v>44993</v>
      </c>
      <c r="V71" s="8">
        <v>8912705</v>
      </c>
      <c r="W71" s="8">
        <v>3312010</v>
      </c>
      <c r="X71" s="8">
        <v>168180</v>
      </c>
      <c r="Y71" s="5">
        <f t="shared" si="22"/>
        <v>12392895</v>
      </c>
      <c r="Z71" s="5"/>
      <c r="AA71" s="8">
        <v>57160</v>
      </c>
      <c r="AB71" s="5">
        <f t="shared" si="23"/>
        <v>12450055</v>
      </c>
      <c r="AD71" s="6">
        <v>45358</v>
      </c>
      <c r="AE71" s="8">
        <v>9305837</v>
      </c>
      <c r="AF71" s="8">
        <v>2262200</v>
      </c>
      <c r="AG71" s="8">
        <v>280870</v>
      </c>
      <c r="AH71" s="5">
        <f t="shared" si="16"/>
        <v>11848907</v>
      </c>
      <c r="AI71" s="5">
        <v>1728080</v>
      </c>
      <c r="AJ71" s="8">
        <v>63900</v>
      </c>
      <c r="AK71" s="5">
        <f t="shared" si="26"/>
        <v>13640887</v>
      </c>
      <c r="AM71" s="6">
        <v>45724</v>
      </c>
      <c r="AN71" s="8">
        <v>2088737</v>
      </c>
      <c r="AO71" s="8">
        <v>793410</v>
      </c>
      <c r="AP71" s="8">
        <v>33300</v>
      </c>
      <c r="AQ71" s="5">
        <f t="shared" si="15"/>
        <v>2915447</v>
      </c>
      <c r="AR71" s="5">
        <v>890680</v>
      </c>
      <c r="AS71" s="5"/>
      <c r="AT71" s="8">
        <f t="shared" si="24"/>
        <v>890680</v>
      </c>
      <c r="AU71" s="5"/>
      <c r="AV71" s="5">
        <f t="shared" ref="AV71:AV72" si="27">AQ71+AT71</f>
        <v>3806127</v>
      </c>
      <c r="AX71" s="6">
        <v>46090</v>
      </c>
      <c r="AY71" s="8">
        <v>11394240</v>
      </c>
      <c r="AZ71" s="8">
        <v>1640960</v>
      </c>
      <c r="BA71" s="8">
        <v>169580</v>
      </c>
      <c r="BB71" s="5">
        <f t="shared" si="14"/>
        <v>13204780</v>
      </c>
      <c r="BC71" s="5">
        <v>3226520</v>
      </c>
      <c r="BD71" s="5">
        <v>171500</v>
      </c>
      <c r="BE71" s="8">
        <f t="shared" si="25"/>
        <v>3398020</v>
      </c>
      <c r="BF71" s="5">
        <v>0</v>
      </c>
      <c r="BG71" s="5">
        <f t="shared" si="21"/>
        <v>16602800</v>
      </c>
    </row>
    <row r="72" spans="1:59">
      <c r="A72" s="6">
        <v>43902</v>
      </c>
      <c r="B72" s="8">
        <v>2612251</v>
      </c>
      <c r="C72" s="8">
        <v>8497626</v>
      </c>
      <c r="D72" s="7">
        <f t="shared" si="17"/>
        <v>11109877</v>
      </c>
      <c r="F72" s="6">
        <v>44266</v>
      </c>
      <c r="G72" s="5">
        <v>15185742</v>
      </c>
      <c r="H72" s="5">
        <v>3823011</v>
      </c>
      <c r="I72" s="8">
        <v>439860</v>
      </c>
      <c r="K72" s="7">
        <f t="shared" si="18"/>
        <v>19448613</v>
      </c>
      <c r="M72" s="6">
        <v>44630</v>
      </c>
      <c r="N72" s="5">
        <v>11636200</v>
      </c>
      <c r="O72" s="5">
        <v>3910800</v>
      </c>
      <c r="P72" s="5">
        <v>350700</v>
      </c>
      <c r="Q72" s="5">
        <f t="shared" si="19"/>
        <v>15897700</v>
      </c>
      <c r="R72" s="5">
        <v>140900</v>
      </c>
      <c r="S72" s="5">
        <f t="shared" si="20"/>
        <v>16038600</v>
      </c>
      <c r="U72" s="6">
        <v>44994</v>
      </c>
      <c r="V72" s="8">
        <v>8876571</v>
      </c>
      <c r="W72" s="8">
        <v>3045385</v>
      </c>
      <c r="X72" s="8">
        <v>106910</v>
      </c>
      <c r="Y72" s="5">
        <f t="shared" si="22"/>
        <v>12028866</v>
      </c>
      <c r="Z72" s="5"/>
      <c r="AA72" s="8">
        <v>14900</v>
      </c>
      <c r="AB72" s="5">
        <f t="shared" si="23"/>
        <v>12043766</v>
      </c>
      <c r="AD72" s="6">
        <v>45359</v>
      </c>
      <c r="AE72" s="8">
        <v>3820075</v>
      </c>
      <c r="AF72" s="8">
        <v>939760</v>
      </c>
      <c r="AG72" s="8">
        <v>250640</v>
      </c>
      <c r="AH72" s="5">
        <f t="shared" si="16"/>
        <v>5010475</v>
      </c>
      <c r="AI72" s="5">
        <v>923300</v>
      </c>
      <c r="AJ72" s="8"/>
      <c r="AK72" s="5">
        <f t="shared" si="26"/>
        <v>5933775</v>
      </c>
      <c r="AM72" s="6">
        <v>45725</v>
      </c>
      <c r="AN72" s="8">
        <v>2250238</v>
      </c>
      <c r="AO72" s="8">
        <v>944440</v>
      </c>
      <c r="AP72" s="8">
        <v>92180</v>
      </c>
      <c r="AQ72" s="5">
        <f t="shared" si="15"/>
        <v>3286858</v>
      </c>
      <c r="AR72" s="5">
        <v>977100</v>
      </c>
      <c r="AS72" s="5"/>
      <c r="AT72" s="8">
        <f t="shared" si="24"/>
        <v>977100</v>
      </c>
      <c r="AU72" s="5"/>
      <c r="AV72" s="5">
        <f t="shared" si="27"/>
        <v>4263958</v>
      </c>
      <c r="AX72" s="6">
        <v>46091</v>
      </c>
      <c r="AY72" s="8">
        <v>11419210</v>
      </c>
      <c r="AZ72" s="8">
        <v>1252570</v>
      </c>
      <c r="BA72" s="8">
        <v>168990</v>
      </c>
      <c r="BB72" s="5">
        <f t="shared" si="14"/>
        <v>12840770</v>
      </c>
      <c r="BC72" s="5">
        <v>2836120</v>
      </c>
      <c r="BD72" s="5">
        <v>187400</v>
      </c>
      <c r="BE72" s="8">
        <f t="shared" si="25"/>
        <v>3023520</v>
      </c>
      <c r="BF72" s="5">
        <v>895310</v>
      </c>
      <c r="BG72" s="5">
        <f t="shared" si="21"/>
        <v>16759600</v>
      </c>
    </row>
    <row r="73" spans="1:59">
      <c r="A73" s="6">
        <v>43903</v>
      </c>
      <c r="B73" s="8">
        <v>2904185</v>
      </c>
      <c r="C73" s="8">
        <v>3506260</v>
      </c>
      <c r="D73" s="7">
        <f t="shared" si="17"/>
        <v>6410445</v>
      </c>
      <c r="F73" s="6">
        <v>44267</v>
      </c>
      <c r="G73" s="5">
        <v>12308927</v>
      </c>
      <c r="H73" s="5">
        <v>3721240</v>
      </c>
      <c r="I73" s="8">
        <v>1262230</v>
      </c>
      <c r="K73" s="7">
        <f t="shared" si="18"/>
        <v>17292397</v>
      </c>
      <c r="M73" s="6">
        <v>44631</v>
      </c>
      <c r="N73" s="5">
        <v>8287407</v>
      </c>
      <c r="O73" s="5">
        <v>2630630</v>
      </c>
      <c r="P73" s="5">
        <v>135470</v>
      </c>
      <c r="Q73" s="5">
        <f t="shared" si="19"/>
        <v>11053507</v>
      </c>
      <c r="R73" s="5">
        <v>236622</v>
      </c>
      <c r="S73" s="5">
        <f t="shared" si="20"/>
        <v>11290129</v>
      </c>
      <c r="U73" s="6">
        <v>44995</v>
      </c>
      <c r="V73" s="8">
        <v>9917292</v>
      </c>
      <c r="W73" s="8">
        <v>2599356</v>
      </c>
      <c r="X73" s="8">
        <v>130720</v>
      </c>
      <c r="Y73" s="5">
        <f t="shared" si="22"/>
        <v>12647368</v>
      </c>
      <c r="Z73" s="5"/>
      <c r="AA73" s="8">
        <v>29800</v>
      </c>
      <c r="AB73" s="5">
        <f t="shared" si="23"/>
        <v>12677168</v>
      </c>
      <c r="AD73" s="6">
        <v>45360</v>
      </c>
      <c r="AE73" s="8">
        <v>2412861</v>
      </c>
      <c r="AF73" s="8">
        <v>1007430</v>
      </c>
      <c r="AG73" s="8">
        <v>200560</v>
      </c>
      <c r="AH73" s="5">
        <f t="shared" si="16"/>
        <v>3620851</v>
      </c>
      <c r="AI73" s="5">
        <v>1687720</v>
      </c>
      <c r="AJ73" s="8">
        <v>16500</v>
      </c>
      <c r="AK73" s="5">
        <f t="shared" si="26"/>
        <v>5325071</v>
      </c>
      <c r="AM73" s="6">
        <v>45726</v>
      </c>
      <c r="AN73" s="8">
        <v>15669755</v>
      </c>
      <c r="AO73" s="8">
        <v>3273820</v>
      </c>
      <c r="AP73" s="8">
        <v>394910</v>
      </c>
      <c r="AQ73" s="5">
        <f t="shared" si="15"/>
        <v>19338485</v>
      </c>
      <c r="AR73" s="5">
        <v>2217070</v>
      </c>
      <c r="AS73" s="5"/>
      <c r="AT73" s="8">
        <f t="shared" si="24"/>
        <v>2217070</v>
      </c>
      <c r="AU73" s="5"/>
      <c r="AV73" s="5">
        <f>AQ73+AT73</f>
        <v>21555555</v>
      </c>
      <c r="AX73" s="6">
        <v>46092</v>
      </c>
      <c r="AY73" s="8">
        <v>14951800</v>
      </c>
      <c r="AZ73" s="8">
        <v>1725960</v>
      </c>
      <c r="BA73" s="8">
        <v>128330</v>
      </c>
      <c r="BB73" s="5">
        <f t="shared" si="14"/>
        <v>16806090</v>
      </c>
      <c r="BC73" s="5">
        <v>2239961</v>
      </c>
      <c r="BD73" s="5">
        <v>127600</v>
      </c>
      <c r="BE73" s="8">
        <f t="shared" si="25"/>
        <v>2367561</v>
      </c>
      <c r="BF73" s="5">
        <v>98000</v>
      </c>
      <c r="BG73" s="5">
        <f t="shared" si="21"/>
        <v>19271651</v>
      </c>
    </row>
    <row r="74" spans="1:59">
      <c r="A74" s="6">
        <v>43904</v>
      </c>
      <c r="B74" s="8">
        <v>4378948</v>
      </c>
      <c r="C74" s="8">
        <v>2310450</v>
      </c>
      <c r="D74" s="7">
        <f t="shared" si="17"/>
        <v>6689398</v>
      </c>
      <c r="F74" s="6">
        <v>44268</v>
      </c>
      <c r="G74" s="5">
        <v>1370163</v>
      </c>
      <c r="H74" s="5">
        <v>461270</v>
      </c>
      <c r="I74" s="8">
        <v>138640</v>
      </c>
      <c r="K74" s="7">
        <f t="shared" si="18"/>
        <v>1970073</v>
      </c>
      <c r="M74" s="6">
        <v>44632</v>
      </c>
      <c r="N74" s="5">
        <v>1622506</v>
      </c>
      <c r="O74" s="5">
        <v>983900</v>
      </c>
      <c r="P74" s="5">
        <v>134970</v>
      </c>
      <c r="Q74" s="5">
        <f t="shared" si="19"/>
        <v>2741376</v>
      </c>
      <c r="R74" s="5">
        <v>87600</v>
      </c>
      <c r="S74" s="5">
        <f t="shared" si="20"/>
        <v>2828976</v>
      </c>
      <c r="U74" s="6">
        <v>44996</v>
      </c>
      <c r="V74" s="8">
        <v>1973377</v>
      </c>
      <c r="W74" s="8">
        <v>1163140</v>
      </c>
      <c r="X74" s="8">
        <v>80440</v>
      </c>
      <c r="Y74" s="5">
        <f t="shared" si="22"/>
        <v>3216957</v>
      </c>
      <c r="Z74" s="5"/>
      <c r="AA74" s="8">
        <v>0</v>
      </c>
      <c r="AB74" s="5">
        <f t="shared" si="23"/>
        <v>3216957</v>
      </c>
      <c r="AD74" s="6">
        <v>45361</v>
      </c>
      <c r="AE74" s="8">
        <v>3130480</v>
      </c>
      <c r="AF74" s="8">
        <v>1193450</v>
      </c>
      <c r="AG74" s="8">
        <v>216360</v>
      </c>
      <c r="AH74" s="5">
        <f t="shared" si="16"/>
        <v>4540290</v>
      </c>
      <c r="AI74" s="5">
        <v>1195880</v>
      </c>
      <c r="AJ74" s="8">
        <v>0</v>
      </c>
      <c r="AK74" s="5">
        <f t="shared" si="26"/>
        <v>5736170</v>
      </c>
      <c r="AM74" s="6">
        <v>45727</v>
      </c>
      <c r="AN74" s="8">
        <v>10087529</v>
      </c>
      <c r="AO74" s="8">
        <v>2333220</v>
      </c>
      <c r="AP74" s="8">
        <v>304000</v>
      </c>
      <c r="AQ74" s="5">
        <f t="shared" si="15"/>
        <v>12724749</v>
      </c>
      <c r="AR74" s="5">
        <v>1361200</v>
      </c>
      <c r="AS74" s="5"/>
      <c r="AT74" s="8">
        <f t="shared" si="24"/>
        <v>1361200</v>
      </c>
      <c r="AU74" s="5"/>
      <c r="AV74" s="5">
        <f>AQ74+AT74</f>
        <v>14085949</v>
      </c>
      <c r="AX74" s="6">
        <v>46093</v>
      </c>
      <c r="AY74" s="8">
        <v>14151460</v>
      </c>
      <c r="AZ74" s="8">
        <v>1424950</v>
      </c>
      <c r="BA74" s="8">
        <v>127080</v>
      </c>
      <c r="BB74" s="5">
        <f t="shared" si="14"/>
        <v>15703490</v>
      </c>
      <c r="BC74" s="5">
        <v>801420</v>
      </c>
      <c r="BD74" s="5">
        <v>220300</v>
      </c>
      <c r="BE74" s="8">
        <f t="shared" si="25"/>
        <v>1021720</v>
      </c>
      <c r="BF74" s="5">
        <v>94900</v>
      </c>
      <c r="BG74" s="5">
        <f t="shared" si="21"/>
        <v>16820110</v>
      </c>
    </row>
    <row r="75" spans="1:59">
      <c r="A75" s="6">
        <v>43905</v>
      </c>
      <c r="B75" s="8">
        <v>3834203</v>
      </c>
      <c r="C75" s="8">
        <v>2005910</v>
      </c>
      <c r="D75" s="7">
        <f t="shared" si="17"/>
        <v>5840113</v>
      </c>
      <c r="F75" s="6">
        <v>44269</v>
      </c>
      <c r="G75" s="5">
        <v>2082657</v>
      </c>
      <c r="H75" s="5">
        <v>783580</v>
      </c>
      <c r="I75" s="8">
        <v>87520</v>
      </c>
      <c r="K75" s="7">
        <f t="shared" si="18"/>
        <v>2953757</v>
      </c>
      <c r="M75" s="6">
        <v>44633</v>
      </c>
      <c r="N75" s="5">
        <v>2874418</v>
      </c>
      <c r="O75" s="5">
        <v>1271170</v>
      </c>
      <c r="P75" s="5">
        <v>145690</v>
      </c>
      <c r="Q75" s="5">
        <f t="shared" si="19"/>
        <v>4291278</v>
      </c>
      <c r="R75" s="5">
        <v>144300</v>
      </c>
      <c r="S75" s="5">
        <f t="shared" si="20"/>
        <v>4435578</v>
      </c>
      <c r="U75" s="6">
        <v>44997</v>
      </c>
      <c r="V75" s="8">
        <v>2227419</v>
      </c>
      <c r="W75" s="8">
        <v>1113680</v>
      </c>
      <c r="X75" s="8">
        <v>126840</v>
      </c>
      <c r="Y75" s="5">
        <f t="shared" si="22"/>
        <v>3467939</v>
      </c>
      <c r="Z75" s="5"/>
      <c r="AA75" s="8">
        <v>54720</v>
      </c>
      <c r="AB75" s="5">
        <f t="shared" si="23"/>
        <v>3522659</v>
      </c>
      <c r="AD75" s="6">
        <v>45362</v>
      </c>
      <c r="AE75" s="8">
        <v>5463291</v>
      </c>
      <c r="AF75" s="8">
        <v>1614360</v>
      </c>
      <c r="AG75" s="8">
        <v>301490</v>
      </c>
      <c r="AH75" s="5">
        <f t="shared" si="16"/>
        <v>7379141</v>
      </c>
      <c r="AI75" s="5">
        <v>1611460</v>
      </c>
      <c r="AJ75" s="8">
        <v>20400</v>
      </c>
      <c r="AK75" s="5">
        <f t="shared" si="26"/>
        <v>9011001</v>
      </c>
      <c r="AM75" s="6">
        <v>45728</v>
      </c>
      <c r="AN75" s="8">
        <v>11896483</v>
      </c>
      <c r="AO75" s="8">
        <v>3173200</v>
      </c>
      <c r="AP75" s="8">
        <v>233460</v>
      </c>
      <c r="AQ75" s="5">
        <f t="shared" si="15"/>
        <v>15303143</v>
      </c>
      <c r="AR75" s="5">
        <v>2424350</v>
      </c>
      <c r="AS75" s="5"/>
      <c r="AT75" s="8">
        <f t="shared" si="24"/>
        <v>2424350</v>
      </c>
      <c r="AU75" s="5"/>
      <c r="AV75" s="5">
        <f>AQ75+AT75</f>
        <v>17727493</v>
      </c>
      <c r="AX75" s="6">
        <v>46094</v>
      </c>
      <c r="AY75" s="8">
        <v>10832400</v>
      </c>
      <c r="AZ75" s="8">
        <v>1685740</v>
      </c>
      <c r="BA75" s="8">
        <v>176160</v>
      </c>
      <c r="BB75" s="5">
        <f t="shared" si="14"/>
        <v>12694300</v>
      </c>
      <c r="BC75" s="5">
        <v>356240</v>
      </c>
      <c r="BD75" s="5">
        <v>271200</v>
      </c>
      <c r="BE75" s="8">
        <f t="shared" si="25"/>
        <v>627440</v>
      </c>
      <c r="BF75" s="5">
        <v>81880</v>
      </c>
      <c r="BG75" s="5">
        <f t="shared" si="21"/>
        <v>13403620</v>
      </c>
    </row>
    <row r="76" spans="1:59">
      <c r="A76" s="6">
        <v>43906</v>
      </c>
      <c r="B76" s="8">
        <v>5054862</v>
      </c>
      <c r="C76" s="8">
        <v>3480140</v>
      </c>
      <c r="D76" s="7">
        <f t="shared" si="17"/>
        <v>8535002</v>
      </c>
      <c r="F76" s="6">
        <v>44270</v>
      </c>
      <c r="G76" s="5">
        <v>6536513</v>
      </c>
      <c r="H76" s="5">
        <v>1186050</v>
      </c>
      <c r="I76" s="8">
        <v>164660</v>
      </c>
      <c r="K76" s="7">
        <f t="shared" si="18"/>
        <v>7887223</v>
      </c>
      <c r="M76" s="6">
        <v>44634</v>
      </c>
      <c r="N76" s="5">
        <v>6283550</v>
      </c>
      <c r="O76" s="5">
        <v>3239898</v>
      </c>
      <c r="P76" s="5">
        <v>446000</v>
      </c>
      <c r="Q76" s="5">
        <f t="shared" si="19"/>
        <v>9969448</v>
      </c>
      <c r="R76" s="5">
        <v>755900</v>
      </c>
      <c r="S76" s="5">
        <f t="shared" si="20"/>
        <v>10725348</v>
      </c>
      <c r="U76" s="6">
        <v>44998</v>
      </c>
      <c r="V76" s="8">
        <v>7772484</v>
      </c>
      <c r="W76" s="8">
        <v>4549580</v>
      </c>
      <c r="X76" s="8">
        <v>1242050</v>
      </c>
      <c r="Y76" s="5">
        <f t="shared" si="22"/>
        <v>13564114</v>
      </c>
      <c r="Z76" s="5"/>
      <c r="AA76" s="8">
        <v>84520</v>
      </c>
      <c r="AB76" s="5">
        <f t="shared" si="23"/>
        <v>13648634</v>
      </c>
      <c r="AD76" s="6">
        <v>45363</v>
      </c>
      <c r="AE76" s="8">
        <v>16336045</v>
      </c>
      <c r="AF76" s="8">
        <v>2486322</v>
      </c>
      <c r="AG76" s="8">
        <v>200720</v>
      </c>
      <c r="AH76" s="5">
        <f t="shared" si="16"/>
        <v>19023087</v>
      </c>
      <c r="AI76" s="5">
        <v>3962400</v>
      </c>
      <c r="AJ76" s="8">
        <v>16500</v>
      </c>
      <c r="AK76" s="5">
        <f t="shared" si="26"/>
        <v>23001987</v>
      </c>
      <c r="AM76" s="6">
        <v>45729</v>
      </c>
      <c r="AN76" s="8">
        <v>10603078</v>
      </c>
      <c r="AO76" s="8">
        <v>3088204</v>
      </c>
      <c r="AP76" s="8">
        <v>121650</v>
      </c>
      <c r="AQ76" s="5">
        <f t="shared" si="15"/>
        <v>13812932</v>
      </c>
      <c r="AR76" s="5">
        <v>1859170</v>
      </c>
      <c r="AS76" s="5"/>
      <c r="AT76" s="8">
        <f t="shared" si="24"/>
        <v>1859170</v>
      </c>
      <c r="AU76" s="5"/>
      <c r="AV76" s="5">
        <f>AQ76+AT76</f>
        <v>15672102</v>
      </c>
      <c r="AX76" s="6">
        <v>46095</v>
      </c>
      <c r="AY76" s="8">
        <v>2192000</v>
      </c>
      <c r="AZ76" s="8">
        <v>620160</v>
      </c>
      <c r="BA76" s="8">
        <v>137140</v>
      </c>
      <c r="BB76" s="5">
        <f t="shared" si="14"/>
        <v>2949300</v>
      </c>
      <c r="BC76" s="5">
        <v>478470</v>
      </c>
      <c r="BD76" s="5">
        <v>317700</v>
      </c>
      <c r="BE76" s="8">
        <f t="shared" si="25"/>
        <v>796170</v>
      </c>
      <c r="BF76" s="5">
        <v>0</v>
      </c>
      <c r="BG76" s="5">
        <f t="shared" si="21"/>
        <v>3745470</v>
      </c>
    </row>
    <row r="77" spans="1:59">
      <c r="A77" s="6">
        <v>43907</v>
      </c>
      <c r="B77" s="8">
        <v>10914051</v>
      </c>
      <c r="C77" s="8">
        <v>4576730</v>
      </c>
      <c r="D77" s="7">
        <f t="shared" si="17"/>
        <v>15490781</v>
      </c>
      <c r="F77" s="6">
        <v>44271</v>
      </c>
      <c r="G77" s="5">
        <v>9617806</v>
      </c>
      <c r="H77" s="5">
        <v>1348750</v>
      </c>
      <c r="I77" s="8">
        <v>103260</v>
      </c>
      <c r="K77" s="7">
        <f t="shared" si="18"/>
        <v>11069816</v>
      </c>
      <c r="M77" s="6">
        <v>44635</v>
      </c>
      <c r="N77" s="5">
        <v>7830881</v>
      </c>
      <c r="O77" s="5">
        <v>3619855</v>
      </c>
      <c r="P77" s="5">
        <v>306010</v>
      </c>
      <c r="Q77" s="5">
        <f t="shared" si="19"/>
        <v>11756746</v>
      </c>
      <c r="R77" s="5">
        <v>329598</v>
      </c>
      <c r="S77" s="5">
        <f t="shared" si="20"/>
        <v>12086344</v>
      </c>
      <c r="U77" s="6">
        <v>44999</v>
      </c>
      <c r="V77" s="8">
        <v>9611765</v>
      </c>
      <c r="W77" s="8">
        <v>3755750</v>
      </c>
      <c r="X77" s="8">
        <v>763520</v>
      </c>
      <c r="Y77" s="5">
        <f t="shared" si="22"/>
        <v>14131035</v>
      </c>
      <c r="Z77" s="5"/>
      <c r="AA77" s="8">
        <v>41310</v>
      </c>
      <c r="AB77" s="5">
        <f t="shared" si="23"/>
        <v>14172345</v>
      </c>
      <c r="AD77" s="6">
        <v>45364</v>
      </c>
      <c r="AE77" s="8">
        <v>15336178</v>
      </c>
      <c r="AF77" s="8">
        <v>3119558</v>
      </c>
      <c r="AG77" s="8">
        <v>0</v>
      </c>
      <c r="AH77" s="5">
        <f t="shared" si="16"/>
        <v>18455736</v>
      </c>
      <c r="AI77" s="5">
        <v>2480220</v>
      </c>
      <c r="AJ77" s="8">
        <v>0</v>
      </c>
      <c r="AK77" s="5">
        <f t="shared" si="26"/>
        <v>20935956</v>
      </c>
      <c r="AM77" s="6">
        <v>45730</v>
      </c>
      <c r="AN77" s="8">
        <v>10301722</v>
      </c>
      <c r="AO77" s="8">
        <v>2579430</v>
      </c>
      <c r="AP77" s="8">
        <v>0</v>
      </c>
      <c r="AQ77" s="5">
        <f t="shared" si="15"/>
        <v>12881152</v>
      </c>
      <c r="AR77" s="5">
        <v>1940280</v>
      </c>
      <c r="AS77" s="5"/>
      <c r="AT77" s="8">
        <f t="shared" si="24"/>
        <v>1940280</v>
      </c>
      <c r="AU77" s="5"/>
      <c r="AV77" s="5">
        <f t="shared" ref="AV77:AV121" si="28">AQ77+AT77</f>
        <v>14821432</v>
      </c>
      <c r="AX77" s="6">
        <v>46096</v>
      </c>
      <c r="AY77" s="8">
        <v>1325800</v>
      </c>
      <c r="AZ77" s="8">
        <v>588550</v>
      </c>
      <c r="BA77" s="8">
        <v>167410</v>
      </c>
      <c r="BB77" s="5">
        <f t="shared" si="14"/>
        <v>2081760</v>
      </c>
      <c r="BC77" s="5">
        <v>1230420</v>
      </c>
      <c r="BD77" s="5">
        <v>81700</v>
      </c>
      <c r="BE77" s="8">
        <f t="shared" si="25"/>
        <v>1312120</v>
      </c>
      <c r="BF77" s="5">
        <v>78500</v>
      </c>
      <c r="BG77" s="5">
        <f t="shared" si="21"/>
        <v>3472380</v>
      </c>
    </row>
    <row r="78" spans="1:59">
      <c r="A78" s="6">
        <v>43908</v>
      </c>
      <c r="B78" s="8">
        <v>12585392</v>
      </c>
      <c r="C78" s="8">
        <v>3227585</v>
      </c>
      <c r="D78" s="7">
        <f t="shared" si="17"/>
        <v>15812977</v>
      </c>
      <c r="F78" s="6">
        <v>44272</v>
      </c>
      <c r="G78" s="5">
        <v>11677044</v>
      </c>
      <c r="H78" s="5">
        <v>1165910</v>
      </c>
      <c r="I78" s="8">
        <v>135660</v>
      </c>
      <c r="K78" s="7">
        <f t="shared" si="18"/>
        <v>12978614</v>
      </c>
      <c r="M78" s="6">
        <v>44636</v>
      </c>
      <c r="N78" s="5">
        <v>10090985</v>
      </c>
      <c r="O78" s="5">
        <v>3880590</v>
      </c>
      <c r="P78" s="5">
        <v>582640</v>
      </c>
      <c r="Q78" s="5">
        <f t="shared" si="19"/>
        <v>14554215</v>
      </c>
      <c r="R78" s="5">
        <v>267276</v>
      </c>
      <c r="S78" s="5">
        <f t="shared" si="20"/>
        <v>14821491</v>
      </c>
      <c r="U78" s="6">
        <v>45000</v>
      </c>
      <c r="V78" s="8">
        <v>9186709</v>
      </c>
      <c r="W78" s="8">
        <v>3776870</v>
      </c>
      <c r="X78" s="8">
        <v>439280</v>
      </c>
      <c r="Y78" s="5">
        <f t="shared" si="22"/>
        <v>13402859</v>
      </c>
      <c r="Z78" s="5"/>
      <c r="AA78" s="8">
        <v>54720</v>
      </c>
      <c r="AB78" s="5">
        <f t="shared" si="23"/>
        <v>13457579</v>
      </c>
      <c r="AD78" s="6">
        <v>45365</v>
      </c>
      <c r="AE78" s="8">
        <v>16273524</v>
      </c>
      <c r="AF78" s="8">
        <v>2901401</v>
      </c>
      <c r="AG78" s="8">
        <v>516580</v>
      </c>
      <c r="AH78" s="5">
        <f t="shared" si="16"/>
        <v>19691505</v>
      </c>
      <c r="AI78" s="5">
        <v>2649340</v>
      </c>
      <c r="AJ78" s="8">
        <v>42500</v>
      </c>
      <c r="AK78" s="5">
        <f t="shared" si="26"/>
        <v>22383345</v>
      </c>
      <c r="AM78" s="6">
        <v>45731</v>
      </c>
      <c r="AN78" s="8">
        <v>3924956</v>
      </c>
      <c r="AO78" s="8">
        <v>1458680</v>
      </c>
      <c r="AP78" s="8">
        <v>111300</v>
      </c>
      <c r="AQ78" s="5">
        <f t="shared" si="15"/>
        <v>5494936</v>
      </c>
      <c r="AR78" s="5">
        <v>843460</v>
      </c>
      <c r="AS78" s="5"/>
      <c r="AT78" s="8">
        <f t="shared" si="24"/>
        <v>843460</v>
      </c>
      <c r="AU78" s="5"/>
      <c r="AV78" s="5">
        <f t="shared" si="28"/>
        <v>6338396</v>
      </c>
      <c r="AX78" s="6">
        <v>46097</v>
      </c>
      <c r="AY78" s="8">
        <v>17244540</v>
      </c>
      <c r="AZ78" s="8">
        <v>1767360</v>
      </c>
      <c r="BA78" s="8">
        <v>248050</v>
      </c>
      <c r="BB78" s="5">
        <f t="shared" si="14"/>
        <v>19259950</v>
      </c>
      <c r="BC78" s="5">
        <v>1289960</v>
      </c>
      <c r="BD78" s="5">
        <v>165680</v>
      </c>
      <c r="BE78" s="8">
        <f t="shared" si="25"/>
        <v>1455640</v>
      </c>
      <c r="BF78" s="5">
        <v>224580</v>
      </c>
      <c r="BG78" s="5">
        <f t="shared" si="21"/>
        <v>20940170</v>
      </c>
    </row>
    <row r="79" spans="1:59">
      <c r="A79" s="6">
        <v>43909</v>
      </c>
      <c r="B79" s="8">
        <v>9365167</v>
      </c>
      <c r="C79" s="8">
        <v>4185817</v>
      </c>
      <c r="D79" s="7">
        <f t="shared" si="17"/>
        <v>13550984</v>
      </c>
      <c r="F79" s="6">
        <v>44273</v>
      </c>
      <c r="G79" s="5">
        <v>13777232</v>
      </c>
      <c r="H79" s="5">
        <v>874423</v>
      </c>
      <c r="I79" s="8">
        <v>347360</v>
      </c>
      <c r="K79" s="7">
        <f t="shared" si="18"/>
        <v>14999015</v>
      </c>
      <c r="M79" s="6">
        <v>44637</v>
      </c>
      <c r="N79" s="5">
        <v>10731961</v>
      </c>
      <c r="O79" s="5">
        <v>4410770</v>
      </c>
      <c r="P79" s="5">
        <v>167690</v>
      </c>
      <c r="Q79" s="5">
        <f t="shared" si="19"/>
        <v>15310421</v>
      </c>
      <c r="R79" s="5">
        <v>125384</v>
      </c>
      <c r="S79" s="5">
        <f t="shared" si="20"/>
        <v>15435805</v>
      </c>
      <c r="U79" s="6">
        <v>45001</v>
      </c>
      <c r="V79" s="8">
        <v>9317630</v>
      </c>
      <c r="W79" s="8">
        <v>4046590</v>
      </c>
      <c r="X79" s="8">
        <v>595130</v>
      </c>
      <c r="Y79" s="5">
        <f t="shared" si="22"/>
        <v>13959350</v>
      </c>
      <c r="Z79" s="5"/>
      <c r="AA79" s="8">
        <v>70570</v>
      </c>
      <c r="AB79" s="5">
        <f t="shared" si="23"/>
        <v>14029920</v>
      </c>
      <c r="AD79" s="6">
        <v>45366</v>
      </c>
      <c r="AE79" s="8">
        <v>13838127</v>
      </c>
      <c r="AF79" s="8">
        <v>2569062</v>
      </c>
      <c r="AG79" s="8">
        <v>305310</v>
      </c>
      <c r="AH79" s="5">
        <f t="shared" si="16"/>
        <v>16712499</v>
      </c>
      <c r="AI79" s="5">
        <v>1770680</v>
      </c>
      <c r="AJ79" s="8">
        <v>0</v>
      </c>
      <c r="AK79" s="5">
        <f t="shared" si="26"/>
        <v>18483179</v>
      </c>
      <c r="AM79" s="6">
        <v>45732</v>
      </c>
      <c r="AN79" s="8">
        <v>1923926</v>
      </c>
      <c r="AO79" s="8">
        <v>985700</v>
      </c>
      <c r="AP79" s="8">
        <v>107800</v>
      </c>
      <c r="AQ79" s="5">
        <f t="shared" si="15"/>
        <v>3017426</v>
      </c>
      <c r="AR79" s="5">
        <v>2930630</v>
      </c>
      <c r="AS79" s="5"/>
      <c r="AT79" s="8">
        <f t="shared" si="24"/>
        <v>2930630</v>
      </c>
      <c r="AU79" s="5"/>
      <c r="AV79" s="5">
        <f t="shared" si="28"/>
        <v>5948056</v>
      </c>
      <c r="AX79" s="6">
        <v>46098</v>
      </c>
      <c r="AY79" s="8">
        <v>17811500</v>
      </c>
      <c r="AZ79" s="8">
        <v>1618280</v>
      </c>
      <c r="BA79" s="8">
        <v>178640</v>
      </c>
      <c r="BB79" s="5">
        <f t="shared" si="14"/>
        <v>19608420</v>
      </c>
      <c r="BC79" s="5">
        <v>3472398</v>
      </c>
      <c r="BD79" s="5">
        <v>157500</v>
      </c>
      <c r="BE79" s="8">
        <f t="shared" si="25"/>
        <v>3629898</v>
      </c>
      <c r="BF79" s="5">
        <v>257750</v>
      </c>
      <c r="BG79" s="5">
        <f t="shared" si="21"/>
        <v>23496068</v>
      </c>
    </row>
    <row r="80" spans="1:59">
      <c r="A80" s="6">
        <v>43910</v>
      </c>
      <c r="B80" s="8">
        <v>5288496</v>
      </c>
      <c r="C80" s="8">
        <v>2915100</v>
      </c>
      <c r="D80" s="7">
        <f t="shared" si="17"/>
        <v>8203596</v>
      </c>
      <c r="F80" s="6">
        <v>44274</v>
      </c>
      <c r="G80" s="5">
        <v>6445256</v>
      </c>
      <c r="H80" s="5">
        <v>1791680</v>
      </c>
      <c r="I80" s="8">
        <v>147640</v>
      </c>
      <c r="K80" s="7">
        <f t="shared" si="18"/>
        <v>8384576</v>
      </c>
      <c r="M80" s="6">
        <v>44638</v>
      </c>
      <c r="N80" s="5">
        <v>4499848</v>
      </c>
      <c r="O80" s="5">
        <v>2478870</v>
      </c>
      <c r="P80" s="5">
        <v>291280</v>
      </c>
      <c r="Q80" s="5">
        <f t="shared" si="19"/>
        <v>7269998</v>
      </c>
      <c r="R80" s="5">
        <v>195330</v>
      </c>
      <c r="S80" s="5">
        <f t="shared" si="20"/>
        <v>7465328</v>
      </c>
      <c r="U80" s="6">
        <v>45002</v>
      </c>
      <c r="V80" s="8">
        <v>6281130</v>
      </c>
      <c r="W80" s="8">
        <v>2020220</v>
      </c>
      <c r="X80" s="8">
        <v>400550</v>
      </c>
      <c r="Y80" s="5">
        <f t="shared" si="22"/>
        <v>8701900</v>
      </c>
      <c r="Z80" s="5"/>
      <c r="AA80" s="8">
        <v>22610</v>
      </c>
      <c r="AB80" s="5">
        <f t="shared" si="23"/>
        <v>8724510</v>
      </c>
      <c r="AD80" s="6">
        <v>45367</v>
      </c>
      <c r="AE80" s="8">
        <v>1134846</v>
      </c>
      <c r="AF80" s="8">
        <v>589105</v>
      </c>
      <c r="AG80" s="8">
        <v>122930</v>
      </c>
      <c r="AH80" s="5">
        <f t="shared" si="16"/>
        <v>1846881</v>
      </c>
      <c r="AI80" s="5">
        <v>1315112</v>
      </c>
      <c r="AJ80" s="8">
        <v>0</v>
      </c>
      <c r="AK80" s="5">
        <f t="shared" si="26"/>
        <v>3161993</v>
      </c>
      <c r="AM80" s="6">
        <v>45733</v>
      </c>
      <c r="AN80" s="8">
        <v>16161848</v>
      </c>
      <c r="AO80" s="8">
        <v>3231600</v>
      </c>
      <c r="AP80" s="8">
        <v>207200</v>
      </c>
      <c r="AQ80" s="5">
        <f t="shared" si="15"/>
        <v>19600648</v>
      </c>
      <c r="AR80" s="5">
        <v>1406330</v>
      </c>
      <c r="AS80" s="5"/>
      <c r="AT80" s="8">
        <f t="shared" si="24"/>
        <v>1406330</v>
      </c>
      <c r="AU80" s="5"/>
      <c r="AV80" s="5">
        <f t="shared" si="28"/>
        <v>21006978</v>
      </c>
      <c r="AX80" s="6">
        <v>46099</v>
      </c>
      <c r="AY80" s="8">
        <v>17166170</v>
      </c>
      <c r="AZ80" s="27">
        <v>2451730</v>
      </c>
      <c r="BA80" s="8">
        <v>263260</v>
      </c>
      <c r="BB80" s="5">
        <f t="shared" si="14"/>
        <v>19881160</v>
      </c>
      <c r="BC80" s="5">
        <v>900702</v>
      </c>
      <c r="BD80" s="5">
        <v>217480</v>
      </c>
      <c r="BE80" s="8">
        <f t="shared" si="25"/>
        <v>1118182</v>
      </c>
      <c r="BF80" s="5">
        <v>161350</v>
      </c>
      <c r="BG80" s="5">
        <f t="shared" si="21"/>
        <v>21160692</v>
      </c>
    </row>
    <row r="81" spans="1:59">
      <c r="A81" s="6">
        <v>43911</v>
      </c>
      <c r="B81" s="8">
        <v>2646122</v>
      </c>
      <c r="C81" s="8">
        <v>1720825</v>
      </c>
      <c r="D81" s="7">
        <f t="shared" si="17"/>
        <v>4366947</v>
      </c>
      <c r="F81" s="6">
        <v>44275</v>
      </c>
      <c r="G81" s="5">
        <v>4149644</v>
      </c>
      <c r="H81" s="5">
        <v>1111030</v>
      </c>
      <c r="I81" s="8">
        <v>49900</v>
      </c>
      <c r="K81" s="7">
        <f t="shared" si="18"/>
        <v>5310574</v>
      </c>
      <c r="M81" s="6">
        <v>44639</v>
      </c>
      <c r="N81" s="5">
        <v>1932685</v>
      </c>
      <c r="O81" s="5">
        <v>1305730</v>
      </c>
      <c r="P81" s="5">
        <v>149700</v>
      </c>
      <c r="Q81" s="5">
        <f t="shared" si="19"/>
        <v>3388115</v>
      </c>
      <c r="R81" s="5">
        <v>68600</v>
      </c>
      <c r="S81" s="5">
        <f t="shared" si="20"/>
        <v>3456715</v>
      </c>
      <c r="U81" s="6">
        <v>45003</v>
      </c>
      <c r="V81" s="8">
        <v>1795202</v>
      </c>
      <c r="W81" s="8">
        <v>1018930</v>
      </c>
      <c r="X81" s="8">
        <v>81540</v>
      </c>
      <c r="Y81" s="5">
        <f t="shared" si="22"/>
        <v>2895672</v>
      </c>
      <c r="Z81" s="5"/>
      <c r="AA81" s="8">
        <v>0</v>
      </c>
      <c r="AB81" s="5">
        <f t="shared" si="23"/>
        <v>2895672</v>
      </c>
      <c r="AD81" s="6">
        <v>45368</v>
      </c>
      <c r="AE81" s="8">
        <v>920331</v>
      </c>
      <c r="AF81" s="8">
        <v>680040</v>
      </c>
      <c r="AG81" s="8">
        <v>93930</v>
      </c>
      <c r="AH81" s="5">
        <f t="shared" si="16"/>
        <v>1694301</v>
      </c>
      <c r="AI81" s="5">
        <v>2077680</v>
      </c>
      <c r="AJ81" s="8">
        <v>0</v>
      </c>
      <c r="AK81" s="5">
        <f t="shared" si="26"/>
        <v>3771981</v>
      </c>
      <c r="AM81" s="6">
        <v>45734</v>
      </c>
      <c r="AN81" s="8">
        <v>18113341</v>
      </c>
      <c r="AO81" s="8">
        <v>3713970</v>
      </c>
      <c r="AP81" s="8">
        <v>196780</v>
      </c>
      <c r="AQ81" s="5">
        <f t="shared" si="15"/>
        <v>22024091</v>
      </c>
      <c r="AR81" s="5">
        <v>1012940</v>
      </c>
      <c r="AS81" s="5"/>
      <c r="AT81" s="8">
        <f t="shared" si="24"/>
        <v>1012940</v>
      </c>
      <c r="AU81" s="5"/>
      <c r="AV81" s="5">
        <f t="shared" si="28"/>
        <v>23037031</v>
      </c>
      <c r="AX81" s="6">
        <v>46100</v>
      </c>
      <c r="AY81" s="8">
        <v>10787888</v>
      </c>
      <c r="AZ81" s="8">
        <v>1152090</v>
      </c>
      <c r="BA81" s="8">
        <v>92400</v>
      </c>
      <c r="BB81" s="5">
        <f t="shared" si="14"/>
        <v>12032378</v>
      </c>
      <c r="BC81" s="5">
        <v>449610</v>
      </c>
      <c r="BD81" s="5">
        <v>263200</v>
      </c>
      <c r="BE81" s="8">
        <f t="shared" si="25"/>
        <v>712810</v>
      </c>
      <c r="BF81" s="5">
        <v>111000</v>
      </c>
      <c r="BG81" s="5">
        <f t="shared" si="21"/>
        <v>12856188</v>
      </c>
    </row>
    <row r="82" spans="1:59">
      <c r="A82" s="6">
        <v>43912</v>
      </c>
      <c r="B82" s="8">
        <v>2662349</v>
      </c>
      <c r="C82" s="8">
        <v>1795800</v>
      </c>
      <c r="D82" s="7">
        <f t="shared" si="17"/>
        <v>4458149</v>
      </c>
      <c r="F82" s="6">
        <v>44276</v>
      </c>
      <c r="G82" s="5">
        <v>8859273</v>
      </c>
      <c r="H82" s="5">
        <v>1935565</v>
      </c>
      <c r="I82" s="8">
        <v>124740</v>
      </c>
      <c r="K82" s="7">
        <f t="shared" si="18"/>
        <v>10919578</v>
      </c>
      <c r="M82" s="6">
        <v>44640</v>
      </c>
      <c r="N82" s="5">
        <v>2974953</v>
      </c>
      <c r="O82" s="5">
        <v>1842780</v>
      </c>
      <c r="P82" s="5">
        <v>279280</v>
      </c>
      <c r="Q82" s="5">
        <f t="shared" si="19"/>
        <v>5097013</v>
      </c>
      <c r="R82" s="5">
        <v>104200</v>
      </c>
      <c r="S82" s="5">
        <f t="shared" si="20"/>
        <v>5201213</v>
      </c>
      <c r="U82" s="6">
        <v>45004</v>
      </c>
      <c r="V82" s="8">
        <v>2705353</v>
      </c>
      <c r="W82" s="8">
        <v>1283260</v>
      </c>
      <c r="X82" s="8">
        <v>164570</v>
      </c>
      <c r="Y82" s="5">
        <f t="shared" si="22"/>
        <v>4153183</v>
      </c>
      <c r="Z82" s="5"/>
      <c r="AA82" s="8">
        <v>55110</v>
      </c>
      <c r="AB82" s="5">
        <f t="shared" si="23"/>
        <v>4208293</v>
      </c>
      <c r="AD82" s="6">
        <v>45369</v>
      </c>
      <c r="AE82" s="8">
        <v>14325443</v>
      </c>
      <c r="AF82" s="8">
        <v>3224658</v>
      </c>
      <c r="AG82" s="8">
        <v>645690</v>
      </c>
      <c r="AH82" s="5">
        <f t="shared" si="16"/>
        <v>18195791</v>
      </c>
      <c r="AI82" s="5">
        <v>2295280</v>
      </c>
      <c r="AJ82" s="8">
        <v>0</v>
      </c>
      <c r="AK82" s="5">
        <f t="shared" si="26"/>
        <v>20491071</v>
      </c>
      <c r="AM82" s="6">
        <v>45735</v>
      </c>
      <c r="AN82" s="8">
        <v>14032143</v>
      </c>
      <c r="AO82" s="8">
        <v>3906330</v>
      </c>
      <c r="AP82" s="8">
        <v>133570</v>
      </c>
      <c r="AQ82" s="5">
        <f t="shared" si="15"/>
        <v>18072043</v>
      </c>
      <c r="AR82" s="5">
        <v>905180</v>
      </c>
      <c r="AS82" s="5"/>
      <c r="AT82" s="8">
        <f t="shared" si="24"/>
        <v>905180</v>
      </c>
      <c r="AU82" s="5"/>
      <c r="AV82" s="5">
        <f t="shared" si="28"/>
        <v>18977223</v>
      </c>
      <c r="AX82" s="6">
        <v>46101</v>
      </c>
      <c r="AY82" s="8">
        <v>8183100</v>
      </c>
      <c r="AZ82" s="8">
        <v>1153030</v>
      </c>
      <c r="BA82" s="8">
        <v>31500</v>
      </c>
      <c r="BB82" s="5">
        <f t="shared" si="14"/>
        <v>9367630</v>
      </c>
      <c r="BC82" s="5">
        <v>504950</v>
      </c>
      <c r="BD82" s="5">
        <v>317400</v>
      </c>
      <c r="BE82" s="8">
        <f t="shared" si="25"/>
        <v>822350</v>
      </c>
      <c r="BF82" s="5">
        <v>148280</v>
      </c>
      <c r="BG82" s="5">
        <f t="shared" si="21"/>
        <v>10338260</v>
      </c>
    </row>
    <row r="83" spans="1:59">
      <c r="A83" s="6">
        <v>43913</v>
      </c>
      <c r="B83" s="8">
        <v>4181244</v>
      </c>
      <c r="C83" s="8">
        <v>3093270</v>
      </c>
      <c r="D83" s="7">
        <f t="shared" si="17"/>
        <v>7274514</v>
      </c>
      <c r="F83" s="6">
        <v>44277</v>
      </c>
      <c r="G83" s="5">
        <v>2759650</v>
      </c>
      <c r="H83" s="5">
        <v>1206800</v>
      </c>
      <c r="I83" s="8">
        <v>207070</v>
      </c>
      <c r="K83" s="7">
        <f t="shared" si="18"/>
        <v>4173520</v>
      </c>
      <c r="M83" s="6">
        <v>44641</v>
      </c>
      <c r="N83" s="5">
        <v>5640342</v>
      </c>
      <c r="O83" s="5">
        <v>2741340</v>
      </c>
      <c r="P83" s="5">
        <v>224840</v>
      </c>
      <c r="Q83" s="5">
        <f t="shared" si="19"/>
        <v>8606522</v>
      </c>
      <c r="R83" s="5">
        <v>198660</v>
      </c>
      <c r="S83" s="5">
        <f t="shared" si="20"/>
        <v>8805182</v>
      </c>
      <c r="U83" s="6">
        <v>45005</v>
      </c>
      <c r="V83" s="8">
        <v>13239575</v>
      </c>
      <c r="W83" s="8">
        <v>2579720</v>
      </c>
      <c r="X83" s="8">
        <v>366960</v>
      </c>
      <c r="Y83" s="5">
        <f t="shared" si="22"/>
        <v>16186255</v>
      </c>
      <c r="Z83" s="5"/>
      <c r="AA83" s="8">
        <v>14900</v>
      </c>
      <c r="AB83" s="5">
        <f t="shared" si="23"/>
        <v>16201155</v>
      </c>
      <c r="AD83" s="6">
        <v>45370</v>
      </c>
      <c r="AE83" s="8">
        <v>15708891</v>
      </c>
      <c r="AF83" s="8">
        <v>3801540</v>
      </c>
      <c r="AG83" s="8">
        <v>370290</v>
      </c>
      <c r="AH83" s="5">
        <f t="shared" si="16"/>
        <v>19880721</v>
      </c>
      <c r="AI83" s="5">
        <v>1630700</v>
      </c>
      <c r="AJ83" s="8">
        <v>28000</v>
      </c>
      <c r="AK83" s="5">
        <f t="shared" si="26"/>
        <v>21539421</v>
      </c>
      <c r="AM83" s="6">
        <v>45736</v>
      </c>
      <c r="AN83" s="8">
        <v>10413029</v>
      </c>
      <c r="AO83" s="8">
        <v>2823424</v>
      </c>
      <c r="AP83" s="8">
        <v>197210</v>
      </c>
      <c r="AQ83" s="5">
        <f t="shared" si="15"/>
        <v>13433663</v>
      </c>
      <c r="AR83" s="5">
        <v>852100</v>
      </c>
      <c r="AS83" s="5"/>
      <c r="AT83" s="8">
        <f t="shared" si="24"/>
        <v>852100</v>
      </c>
      <c r="AU83" s="5"/>
      <c r="AV83" s="5">
        <f t="shared" si="28"/>
        <v>14285763</v>
      </c>
      <c r="AX83" s="6">
        <v>46102</v>
      </c>
      <c r="AY83" s="8">
        <v>5164610</v>
      </c>
      <c r="AZ83" s="8">
        <v>742340</v>
      </c>
      <c r="BA83" s="8">
        <v>53380</v>
      </c>
      <c r="BB83" s="5">
        <f t="shared" ref="BB83:BB146" si="29">SUM(AY83:BA83)</f>
        <v>5960330</v>
      </c>
      <c r="BC83" s="5">
        <v>707860</v>
      </c>
      <c r="BD83" s="5">
        <v>225480</v>
      </c>
      <c r="BE83" s="8">
        <f t="shared" si="25"/>
        <v>933340</v>
      </c>
      <c r="BF83" s="5">
        <v>91000</v>
      </c>
      <c r="BG83" s="5">
        <f t="shared" si="21"/>
        <v>6984670</v>
      </c>
    </row>
    <row r="84" spans="1:59">
      <c r="A84" s="6">
        <v>43914</v>
      </c>
      <c r="B84" s="8">
        <v>8881720</v>
      </c>
      <c r="C84" s="8">
        <v>4058506</v>
      </c>
      <c r="D84" s="7">
        <f t="shared" si="17"/>
        <v>12940226</v>
      </c>
      <c r="F84" s="6">
        <v>44278</v>
      </c>
      <c r="G84" s="5">
        <v>6822546</v>
      </c>
      <c r="H84" s="5">
        <v>1437480</v>
      </c>
      <c r="I84" s="8">
        <v>232360</v>
      </c>
      <c r="K84" s="7">
        <f t="shared" si="18"/>
        <v>8492386</v>
      </c>
      <c r="M84" s="6">
        <v>44642</v>
      </c>
      <c r="N84" s="5">
        <v>8041478</v>
      </c>
      <c r="O84" s="5">
        <v>3790970</v>
      </c>
      <c r="P84" s="5">
        <v>384140</v>
      </c>
      <c r="Q84" s="5">
        <f t="shared" si="19"/>
        <v>12216588</v>
      </c>
      <c r="R84" s="5">
        <v>108600</v>
      </c>
      <c r="S84" s="5">
        <f t="shared" si="20"/>
        <v>12325188</v>
      </c>
      <c r="U84" s="6">
        <v>45006</v>
      </c>
      <c r="V84" s="8">
        <v>14631911</v>
      </c>
      <c r="W84" s="8">
        <v>1980150</v>
      </c>
      <c r="X84" s="8">
        <v>596780</v>
      </c>
      <c r="Y84" s="5">
        <f t="shared" si="22"/>
        <v>17208841</v>
      </c>
      <c r="Z84" s="5"/>
      <c r="AA84" s="8">
        <v>0</v>
      </c>
      <c r="AB84" s="5">
        <f t="shared" si="23"/>
        <v>17208841</v>
      </c>
      <c r="AD84" s="6">
        <v>45371</v>
      </c>
      <c r="AE84" s="8">
        <v>4051464</v>
      </c>
      <c r="AF84" s="8">
        <v>1641030</v>
      </c>
      <c r="AG84" s="8">
        <v>413080</v>
      </c>
      <c r="AH84" s="5">
        <f t="shared" si="16"/>
        <v>6105574</v>
      </c>
      <c r="AI84" s="5">
        <v>2368740</v>
      </c>
      <c r="AJ84" s="8">
        <v>0</v>
      </c>
      <c r="AK84" s="5">
        <f t="shared" si="26"/>
        <v>8474314</v>
      </c>
      <c r="AM84" s="6">
        <v>45737</v>
      </c>
      <c r="AN84" s="8">
        <v>5192709</v>
      </c>
      <c r="AO84" s="8">
        <v>1516660</v>
      </c>
      <c r="AP84" s="8">
        <v>71120</v>
      </c>
      <c r="AQ84" s="5">
        <f t="shared" si="15"/>
        <v>6780489</v>
      </c>
      <c r="AR84" s="5">
        <v>776410</v>
      </c>
      <c r="AS84" s="5"/>
      <c r="AT84" s="8">
        <f t="shared" si="24"/>
        <v>776410</v>
      </c>
      <c r="AU84" s="5"/>
      <c r="AV84" s="5">
        <f t="shared" si="28"/>
        <v>7556899</v>
      </c>
      <c r="AX84" s="6">
        <v>46103</v>
      </c>
      <c r="AY84" s="8">
        <v>5952040</v>
      </c>
      <c r="AZ84" s="8">
        <v>1328680</v>
      </c>
      <c r="BA84" s="8">
        <v>227540</v>
      </c>
      <c r="BB84" s="5">
        <f t="shared" si="29"/>
        <v>7508260</v>
      </c>
      <c r="BC84" s="5">
        <v>848060</v>
      </c>
      <c r="BD84" s="5">
        <v>299180</v>
      </c>
      <c r="BE84" s="8">
        <f t="shared" si="25"/>
        <v>1147240</v>
      </c>
      <c r="BF84" s="5">
        <v>100000</v>
      </c>
      <c r="BG84" s="5">
        <f t="shared" si="21"/>
        <v>8755500</v>
      </c>
    </row>
    <row r="85" spans="1:59">
      <c r="A85" s="6">
        <v>43915</v>
      </c>
      <c r="B85" s="8">
        <v>8051251</v>
      </c>
      <c r="C85" s="8">
        <v>3914740</v>
      </c>
      <c r="D85" s="7">
        <f t="shared" si="17"/>
        <v>11965991</v>
      </c>
      <c r="F85" s="6">
        <v>44279</v>
      </c>
      <c r="G85" s="5">
        <v>6532821</v>
      </c>
      <c r="H85" s="5">
        <v>1302250</v>
      </c>
      <c r="I85" s="8">
        <v>605000</v>
      </c>
      <c r="K85" s="7">
        <f t="shared" si="18"/>
        <v>8440071</v>
      </c>
      <c r="M85" s="6">
        <v>44643</v>
      </c>
      <c r="N85" s="5">
        <v>7278703</v>
      </c>
      <c r="O85" s="5">
        <v>3255175</v>
      </c>
      <c r="P85" s="5">
        <v>438780</v>
      </c>
      <c r="Q85" s="5">
        <f t="shared" si="19"/>
        <v>10972658</v>
      </c>
      <c r="R85" s="5">
        <v>174992</v>
      </c>
      <c r="S85" s="5">
        <f t="shared" si="20"/>
        <v>11147650</v>
      </c>
      <c r="U85" s="6">
        <v>45007</v>
      </c>
      <c r="V85" s="8">
        <v>10316293</v>
      </c>
      <c r="W85" s="8">
        <v>3735010</v>
      </c>
      <c r="X85" s="8">
        <v>383410</v>
      </c>
      <c r="Y85" s="5">
        <f t="shared" si="22"/>
        <v>14434713</v>
      </c>
      <c r="Z85" s="5"/>
      <c r="AA85" s="8">
        <v>0</v>
      </c>
      <c r="AB85" s="5">
        <f t="shared" si="23"/>
        <v>14434713</v>
      </c>
      <c r="AD85" s="6">
        <v>45372</v>
      </c>
      <c r="AE85" s="8">
        <v>7481494</v>
      </c>
      <c r="AF85" s="8">
        <v>1813730</v>
      </c>
      <c r="AG85" s="8">
        <v>615850</v>
      </c>
      <c r="AH85" s="5">
        <f t="shared" si="16"/>
        <v>9911074</v>
      </c>
      <c r="AI85" s="5">
        <v>1443540</v>
      </c>
      <c r="AJ85" s="8">
        <v>15500</v>
      </c>
      <c r="AK85" s="5">
        <f t="shared" si="26"/>
        <v>11370114</v>
      </c>
      <c r="AM85" s="6">
        <v>45738</v>
      </c>
      <c r="AN85" s="8">
        <v>3595878</v>
      </c>
      <c r="AO85" s="8">
        <v>1224120</v>
      </c>
      <c r="AP85" s="8">
        <v>54600</v>
      </c>
      <c r="AQ85" s="5">
        <f t="shared" si="15"/>
        <v>4874598</v>
      </c>
      <c r="AR85" s="5">
        <v>321690</v>
      </c>
      <c r="AS85" s="5"/>
      <c r="AT85" s="8">
        <f t="shared" si="24"/>
        <v>321690</v>
      </c>
      <c r="AU85" s="5"/>
      <c r="AV85" s="5">
        <f t="shared" si="28"/>
        <v>5196288</v>
      </c>
      <c r="AX85" s="6">
        <v>46104</v>
      </c>
      <c r="AY85" s="8">
        <v>10610260</v>
      </c>
      <c r="AZ85" s="8">
        <v>1657640</v>
      </c>
      <c r="BA85" s="8">
        <v>334780</v>
      </c>
      <c r="BB85" s="5">
        <f t="shared" si="29"/>
        <v>12602680</v>
      </c>
      <c r="BC85" s="5">
        <v>894740</v>
      </c>
      <c r="BD85" s="5">
        <v>293280</v>
      </c>
      <c r="BE85" s="8">
        <f t="shared" si="25"/>
        <v>1188020</v>
      </c>
      <c r="BF85" s="5">
        <v>0</v>
      </c>
      <c r="BG85" s="5">
        <f t="shared" si="21"/>
        <v>13790700</v>
      </c>
    </row>
    <row r="86" spans="1:59">
      <c r="A86" s="6">
        <v>43916</v>
      </c>
      <c r="B86" s="8">
        <v>9751819</v>
      </c>
      <c r="D86" s="7">
        <f t="shared" si="17"/>
        <v>9751819</v>
      </c>
      <c r="F86" s="6">
        <v>44280</v>
      </c>
      <c r="G86" s="5">
        <v>6580526</v>
      </c>
      <c r="H86" s="5">
        <v>1963310</v>
      </c>
      <c r="I86" s="8">
        <v>550780</v>
      </c>
      <c r="K86" s="7">
        <f t="shared" si="18"/>
        <v>9094616</v>
      </c>
      <c r="M86" s="6">
        <v>44644</v>
      </c>
      <c r="N86" s="5">
        <v>7764532</v>
      </c>
      <c r="O86" s="5">
        <v>3157820</v>
      </c>
      <c r="P86" s="5">
        <v>302600</v>
      </c>
      <c r="Q86" s="5">
        <f t="shared" si="19"/>
        <v>11224952</v>
      </c>
      <c r="R86" s="5">
        <v>104954</v>
      </c>
      <c r="S86" s="5">
        <f t="shared" si="20"/>
        <v>11329906</v>
      </c>
      <c r="U86" s="6">
        <v>45008</v>
      </c>
      <c r="V86" s="8">
        <v>7375398</v>
      </c>
      <c r="W86" s="8">
        <v>2626910</v>
      </c>
      <c r="X86" s="8">
        <v>295430</v>
      </c>
      <c r="Y86" s="5">
        <f t="shared" si="22"/>
        <v>10297738</v>
      </c>
      <c r="Z86" s="5"/>
      <c r="AA86" s="8">
        <v>0</v>
      </c>
      <c r="AB86" s="5">
        <f t="shared" si="23"/>
        <v>10297738</v>
      </c>
      <c r="AD86" s="6">
        <v>45373</v>
      </c>
      <c r="AE86" s="8">
        <v>2110255</v>
      </c>
      <c r="AF86" s="8">
        <v>1001840</v>
      </c>
      <c r="AG86" s="8">
        <v>438940</v>
      </c>
      <c r="AH86" s="5">
        <f t="shared" si="16"/>
        <v>3551035</v>
      </c>
      <c r="AI86" s="5">
        <v>1312060</v>
      </c>
      <c r="AJ86" s="8">
        <v>0</v>
      </c>
      <c r="AK86" s="5">
        <f t="shared" si="26"/>
        <v>4863095</v>
      </c>
      <c r="AM86" s="6">
        <v>45739</v>
      </c>
      <c r="AN86" s="8">
        <v>3798608</v>
      </c>
      <c r="AO86" s="8">
        <v>1503740</v>
      </c>
      <c r="AP86" s="8">
        <v>169310</v>
      </c>
      <c r="AQ86" s="5">
        <f t="shared" si="15"/>
        <v>5471658</v>
      </c>
      <c r="AR86" s="5">
        <v>690810</v>
      </c>
      <c r="AS86" s="5"/>
      <c r="AT86" s="8">
        <f t="shared" si="24"/>
        <v>690810</v>
      </c>
      <c r="AU86" s="5"/>
      <c r="AV86" s="5">
        <f t="shared" si="28"/>
        <v>6162468</v>
      </c>
      <c r="AX86" s="6">
        <v>46105</v>
      </c>
      <c r="AY86" s="8">
        <v>10618450</v>
      </c>
      <c r="AZ86" s="8">
        <v>1358170</v>
      </c>
      <c r="BA86" s="8">
        <v>132490</v>
      </c>
      <c r="BB86" s="5">
        <f t="shared" si="29"/>
        <v>12109110</v>
      </c>
      <c r="BC86" s="5">
        <v>777090</v>
      </c>
      <c r="BD86" s="5">
        <v>377980</v>
      </c>
      <c r="BE86" s="8">
        <f t="shared" si="25"/>
        <v>1155070</v>
      </c>
      <c r="BF86" s="5">
        <v>207000</v>
      </c>
      <c r="BG86" s="5">
        <f t="shared" si="21"/>
        <v>13471180</v>
      </c>
    </row>
    <row r="87" spans="1:59">
      <c r="A87" s="6">
        <v>43917</v>
      </c>
      <c r="B87" s="8">
        <v>4666079</v>
      </c>
      <c r="C87" s="8">
        <v>2798240</v>
      </c>
      <c r="D87" s="7">
        <f t="shared" si="17"/>
        <v>7464319</v>
      </c>
      <c r="F87" s="6">
        <v>44281</v>
      </c>
      <c r="G87" s="5">
        <v>4463926</v>
      </c>
      <c r="H87" s="5">
        <v>1013860</v>
      </c>
      <c r="I87" s="8">
        <v>325380</v>
      </c>
      <c r="K87" s="7">
        <f t="shared" si="18"/>
        <v>5803166</v>
      </c>
      <c r="M87" s="6">
        <v>44645</v>
      </c>
      <c r="N87" s="5">
        <v>3126868</v>
      </c>
      <c r="O87" s="5">
        <v>2090250</v>
      </c>
      <c r="P87" s="5">
        <v>376270</v>
      </c>
      <c r="Q87" s="5">
        <f t="shared" si="19"/>
        <v>5593388</v>
      </c>
      <c r="R87" s="5">
        <v>124300</v>
      </c>
      <c r="S87" s="5">
        <f t="shared" si="20"/>
        <v>5717688</v>
      </c>
      <c r="U87" s="6">
        <v>45009</v>
      </c>
      <c r="V87" s="8">
        <v>6396137</v>
      </c>
      <c r="W87" s="8">
        <v>1590060</v>
      </c>
      <c r="X87" s="8">
        <v>411980</v>
      </c>
      <c r="Y87" s="5">
        <f t="shared" si="22"/>
        <v>8398177</v>
      </c>
      <c r="Z87" s="5"/>
      <c r="AA87" s="8">
        <v>25800</v>
      </c>
      <c r="AB87" s="5">
        <f t="shared" si="23"/>
        <v>8423977</v>
      </c>
      <c r="AD87" s="6">
        <v>45374</v>
      </c>
      <c r="AE87" s="8">
        <v>2148199</v>
      </c>
      <c r="AF87" s="8">
        <v>506850</v>
      </c>
      <c r="AG87" s="8">
        <v>877230</v>
      </c>
      <c r="AH87" s="5">
        <f t="shared" si="16"/>
        <v>3532279</v>
      </c>
      <c r="AI87" s="5">
        <v>994220</v>
      </c>
      <c r="AJ87" s="8">
        <v>0</v>
      </c>
      <c r="AK87" s="5">
        <f t="shared" si="26"/>
        <v>4526499</v>
      </c>
      <c r="AM87" s="6">
        <v>45740</v>
      </c>
      <c r="AN87" s="8">
        <v>8434665</v>
      </c>
      <c r="AO87" s="8">
        <v>3239720</v>
      </c>
      <c r="AP87" s="8">
        <v>217500</v>
      </c>
      <c r="AQ87" s="5">
        <f t="shared" si="15"/>
        <v>11891885</v>
      </c>
      <c r="AR87" s="5">
        <v>852206</v>
      </c>
      <c r="AS87" s="5"/>
      <c r="AT87" s="8">
        <f t="shared" si="24"/>
        <v>852206</v>
      </c>
      <c r="AU87" s="5"/>
      <c r="AV87" s="5">
        <f t="shared" si="28"/>
        <v>12744091</v>
      </c>
      <c r="AX87" s="6">
        <v>46106</v>
      </c>
      <c r="AY87" s="8">
        <v>11120558</v>
      </c>
      <c r="AZ87" s="8">
        <v>1639990</v>
      </c>
      <c r="BA87" s="8">
        <v>24900</v>
      </c>
      <c r="BB87" s="5">
        <f t="shared" si="29"/>
        <v>12785448</v>
      </c>
      <c r="BC87" s="5">
        <v>1429250</v>
      </c>
      <c r="BD87" s="5">
        <v>127600</v>
      </c>
      <c r="BE87" s="8">
        <f t="shared" si="25"/>
        <v>1556850</v>
      </c>
      <c r="BF87" s="5">
        <v>149560</v>
      </c>
      <c r="BG87" s="5">
        <f t="shared" si="21"/>
        <v>14491858</v>
      </c>
    </row>
    <row r="88" spans="1:59">
      <c r="A88" s="6">
        <v>43918</v>
      </c>
      <c r="B88" s="8">
        <v>3730410</v>
      </c>
      <c r="C88" s="8">
        <v>2382390</v>
      </c>
      <c r="D88" s="7">
        <f t="shared" si="17"/>
        <v>6112800</v>
      </c>
      <c r="F88" s="6">
        <v>44282</v>
      </c>
      <c r="G88" s="5">
        <v>3447277</v>
      </c>
      <c r="H88" s="5">
        <v>1011870</v>
      </c>
      <c r="I88" s="8">
        <v>262640</v>
      </c>
      <c r="K88" s="7">
        <f t="shared" si="18"/>
        <v>4721787</v>
      </c>
      <c r="M88" s="6">
        <v>44646</v>
      </c>
      <c r="N88" s="5">
        <v>2486409</v>
      </c>
      <c r="O88" s="5">
        <v>1495240</v>
      </c>
      <c r="P88" s="5">
        <v>250980</v>
      </c>
      <c r="Q88" s="5">
        <f t="shared" si="19"/>
        <v>4232629</v>
      </c>
      <c r="R88" s="5">
        <v>86500</v>
      </c>
      <c r="S88" s="5">
        <f t="shared" si="20"/>
        <v>4319129</v>
      </c>
      <c r="U88" s="6">
        <v>45010</v>
      </c>
      <c r="V88" s="8">
        <v>2596175</v>
      </c>
      <c r="W88" s="8">
        <v>1024760</v>
      </c>
      <c r="X88" s="8">
        <v>236050</v>
      </c>
      <c r="Y88" s="5">
        <f t="shared" si="22"/>
        <v>3856985</v>
      </c>
      <c r="Z88" s="5"/>
      <c r="AA88" s="8">
        <v>0</v>
      </c>
      <c r="AB88" s="5">
        <f t="shared" si="23"/>
        <v>3856985</v>
      </c>
      <c r="AD88" s="6">
        <v>45375</v>
      </c>
      <c r="AE88" s="8">
        <v>2397664</v>
      </c>
      <c r="AF88" s="8">
        <v>833080</v>
      </c>
      <c r="AG88" s="8">
        <v>400230</v>
      </c>
      <c r="AH88" s="5">
        <f t="shared" si="16"/>
        <v>3630974</v>
      </c>
      <c r="AI88" s="5">
        <v>1678180</v>
      </c>
      <c r="AJ88" s="8">
        <v>0</v>
      </c>
      <c r="AK88" s="5">
        <f t="shared" si="26"/>
        <v>5309154</v>
      </c>
      <c r="AM88" s="6">
        <v>45741</v>
      </c>
      <c r="AN88" s="8">
        <v>9918727</v>
      </c>
      <c r="AO88" s="8">
        <v>2607300</v>
      </c>
      <c r="AP88" s="8">
        <v>536810</v>
      </c>
      <c r="AQ88" s="5">
        <f t="shared" si="15"/>
        <v>13062837</v>
      </c>
      <c r="AR88" s="5">
        <v>1607550</v>
      </c>
      <c r="AS88" s="5"/>
      <c r="AT88" s="8">
        <f t="shared" si="24"/>
        <v>1607550</v>
      </c>
      <c r="AU88" s="5"/>
      <c r="AV88" s="5">
        <f t="shared" si="28"/>
        <v>14670387</v>
      </c>
      <c r="AX88" s="6">
        <v>46107</v>
      </c>
      <c r="AY88" s="8">
        <v>11246290</v>
      </c>
      <c r="AZ88" s="8">
        <v>1273540</v>
      </c>
      <c r="BA88" s="8">
        <v>175540</v>
      </c>
      <c r="BB88" s="5">
        <f t="shared" si="29"/>
        <v>12695370</v>
      </c>
      <c r="BC88" s="5">
        <v>1214640</v>
      </c>
      <c r="BD88" s="5">
        <v>100700</v>
      </c>
      <c r="BE88" s="8">
        <f t="shared" si="25"/>
        <v>1315340</v>
      </c>
      <c r="BF88" s="5">
        <v>258510</v>
      </c>
      <c r="BG88" s="5">
        <f t="shared" si="21"/>
        <v>14269220</v>
      </c>
    </row>
    <row r="89" spans="1:59">
      <c r="A89" s="6">
        <v>43919</v>
      </c>
      <c r="B89" s="8">
        <v>5235763</v>
      </c>
      <c r="C89" s="8">
        <v>2783815</v>
      </c>
      <c r="D89" s="7">
        <f t="shared" si="17"/>
        <v>8019578</v>
      </c>
      <c r="F89" s="6">
        <v>44283</v>
      </c>
      <c r="G89" s="5">
        <v>3616017</v>
      </c>
      <c r="H89" s="5">
        <v>988120</v>
      </c>
      <c r="I89" s="8">
        <v>306140</v>
      </c>
      <c r="K89" s="7">
        <f t="shared" si="18"/>
        <v>4910277</v>
      </c>
      <c r="M89" s="6">
        <v>44647</v>
      </c>
      <c r="N89" s="5">
        <v>4091317</v>
      </c>
      <c r="O89" s="5">
        <v>1372150</v>
      </c>
      <c r="P89" s="5">
        <v>351410</v>
      </c>
      <c r="Q89" s="5">
        <f t="shared" si="19"/>
        <v>5814877</v>
      </c>
      <c r="R89" s="5">
        <v>31000</v>
      </c>
      <c r="S89" s="5">
        <f t="shared" si="20"/>
        <v>5845877</v>
      </c>
      <c r="U89" s="6">
        <v>45011</v>
      </c>
      <c r="V89" s="8">
        <v>4288397</v>
      </c>
      <c r="W89" s="8">
        <v>1430930</v>
      </c>
      <c r="X89" s="8">
        <v>194460</v>
      </c>
      <c r="Y89" s="5">
        <f t="shared" si="22"/>
        <v>5913787</v>
      </c>
      <c r="Z89" s="5"/>
      <c r="AA89" s="8">
        <v>41310</v>
      </c>
      <c r="AB89" s="5">
        <f t="shared" si="23"/>
        <v>5955097</v>
      </c>
      <c r="AD89" s="6">
        <v>45376</v>
      </c>
      <c r="AE89" s="8">
        <v>4386537</v>
      </c>
      <c r="AF89" s="8">
        <v>1511850</v>
      </c>
      <c r="AG89" s="8">
        <v>698220</v>
      </c>
      <c r="AH89" s="5">
        <f t="shared" si="16"/>
        <v>6596607</v>
      </c>
      <c r="AI89" s="5">
        <v>3092280</v>
      </c>
      <c r="AJ89" s="8">
        <v>0</v>
      </c>
      <c r="AK89" s="5">
        <f t="shared" si="26"/>
        <v>9688887</v>
      </c>
      <c r="AM89" s="6">
        <v>45742</v>
      </c>
      <c r="AN89" s="8">
        <v>8748771</v>
      </c>
      <c r="AO89" s="8">
        <v>2171010</v>
      </c>
      <c r="AP89" s="8">
        <v>400180</v>
      </c>
      <c r="AQ89" s="5">
        <f t="shared" si="15"/>
        <v>11319961</v>
      </c>
      <c r="AR89" s="5">
        <v>1287410</v>
      </c>
      <c r="AS89" s="5"/>
      <c r="AT89" s="8">
        <f t="shared" si="24"/>
        <v>1287410</v>
      </c>
      <c r="AU89" s="5"/>
      <c r="AV89" s="5">
        <f t="shared" si="28"/>
        <v>12607371</v>
      </c>
      <c r="AX89" s="6">
        <v>46108</v>
      </c>
      <c r="AY89" s="8">
        <v>7157890</v>
      </c>
      <c r="AZ89" s="8">
        <v>1130440</v>
      </c>
      <c r="BA89" s="8">
        <v>127980</v>
      </c>
      <c r="BB89" s="5">
        <f t="shared" si="29"/>
        <v>8416310</v>
      </c>
      <c r="BC89" s="5">
        <v>1504671</v>
      </c>
      <c r="BD89" s="5">
        <v>119600</v>
      </c>
      <c r="BE89" s="8">
        <f t="shared" si="25"/>
        <v>1624271</v>
      </c>
      <c r="BF89" s="5">
        <v>90510</v>
      </c>
      <c r="BG89" s="5">
        <f t="shared" si="21"/>
        <v>10131091</v>
      </c>
    </row>
    <row r="90" spans="1:59">
      <c r="A90" s="6">
        <v>43920</v>
      </c>
      <c r="B90" s="8">
        <v>7303053</v>
      </c>
      <c r="C90" s="8">
        <v>4995731</v>
      </c>
      <c r="D90" s="7">
        <f t="shared" si="17"/>
        <v>12298784</v>
      </c>
      <c r="F90" s="6">
        <v>44284</v>
      </c>
      <c r="G90" s="5">
        <v>4739333</v>
      </c>
      <c r="H90" s="5">
        <v>2174920</v>
      </c>
      <c r="I90" s="8">
        <v>594020</v>
      </c>
      <c r="K90" s="7">
        <f t="shared" si="18"/>
        <v>7508273</v>
      </c>
      <c r="M90" s="6">
        <v>44648</v>
      </c>
      <c r="N90" s="5">
        <v>9652175</v>
      </c>
      <c r="O90" s="5">
        <v>3494280</v>
      </c>
      <c r="P90" s="5">
        <v>533290</v>
      </c>
      <c r="Q90" s="5">
        <f t="shared" si="19"/>
        <v>13679745</v>
      </c>
      <c r="R90" s="5">
        <v>175838</v>
      </c>
      <c r="S90" s="5">
        <f t="shared" si="20"/>
        <v>13855583</v>
      </c>
      <c r="U90" s="6">
        <v>45012</v>
      </c>
      <c r="V90" s="8">
        <v>5108710</v>
      </c>
      <c r="W90" s="8">
        <v>2315080</v>
      </c>
      <c r="X90" s="8">
        <v>382310</v>
      </c>
      <c r="Y90" s="5">
        <f t="shared" si="22"/>
        <v>7806100</v>
      </c>
      <c r="Z90" s="5"/>
      <c r="AA90" s="8">
        <v>121730</v>
      </c>
      <c r="AB90" s="5">
        <f t="shared" si="23"/>
        <v>7927830</v>
      </c>
      <c r="AD90" s="6">
        <v>45377</v>
      </c>
      <c r="AE90" s="8">
        <v>7213107</v>
      </c>
      <c r="AF90" s="8">
        <v>1782880</v>
      </c>
      <c r="AG90" s="8">
        <v>628150</v>
      </c>
      <c r="AH90" s="5">
        <f t="shared" si="16"/>
        <v>9624137</v>
      </c>
      <c r="AI90" s="5">
        <v>2484580</v>
      </c>
      <c r="AJ90" s="8">
        <v>0</v>
      </c>
      <c r="AK90" s="5">
        <f t="shared" si="26"/>
        <v>12108717</v>
      </c>
      <c r="AM90" s="6">
        <v>45743</v>
      </c>
      <c r="AN90" s="8">
        <v>8910470</v>
      </c>
      <c r="AO90" s="8">
        <v>2771970</v>
      </c>
      <c r="AP90" s="8">
        <v>331880</v>
      </c>
      <c r="AQ90" s="5">
        <f t="shared" si="15"/>
        <v>12014320</v>
      </c>
      <c r="AR90" s="5">
        <v>1020970</v>
      </c>
      <c r="AS90" s="5"/>
      <c r="AT90" s="8">
        <f t="shared" si="24"/>
        <v>1020970</v>
      </c>
      <c r="AU90" s="5"/>
      <c r="AV90" s="5">
        <f t="shared" si="28"/>
        <v>13035290</v>
      </c>
      <c r="AX90" s="6">
        <v>46109</v>
      </c>
      <c r="AY90" s="8">
        <v>6301720</v>
      </c>
      <c r="AZ90" s="8">
        <v>1050570</v>
      </c>
      <c r="BA90" s="8">
        <v>0</v>
      </c>
      <c r="BB90" s="5">
        <f t="shared" si="29"/>
        <v>7352290</v>
      </c>
      <c r="BC90" s="5">
        <v>335070</v>
      </c>
      <c r="BD90" s="5">
        <v>165800</v>
      </c>
      <c r="BE90" s="8">
        <f t="shared" si="25"/>
        <v>500870</v>
      </c>
      <c r="BF90" s="5">
        <v>28500</v>
      </c>
      <c r="BG90" s="5">
        <f t="shared" si="21"/>
        <v>7881660</v>
      </c>
    </row>
    <row r="91" spans="1:59">
      <c r="A91" s="6">
        <v>43921</v>
      </c>
      <c r="B91" s="8">
        <v>6763761</v>
      </c>
      <c r="C91" s="8">
        <v>1233585</v>
      </c>
      <c r="D91" s="7">
        <f t="shared" si="17"/>
        <v>7997346</v>
      </c>
      <c r="F91" s="6">
        <v>44285</v>
      </c>
      <c r="G91" s="5">
        <v>11747138</v>
      </c>
      <c r="H91" s="5">
        <v>1582520</v>
      </c>
      <c r="I91" s="8">
        <v>640260</v>
      </c>
      <c r="K91" s="7">
        <f t="shared" si="18"/>
        <v>13969918</v>
      </c>
      <c r="M91" s="6">
        <v>44649</v>
      </c>
      <c r="N91" s="5">
        <v>11903203</v>
      </c>
      <c r="O91" s="5">
        <v>4611990</v>
      </c>
      <c r="P91" s="5">
        <v>141120</v>
      </c>
      <c r="Q91" s="5">
        <f t="shared" si="19"/>
        <v>16656313</v>
      </c>
      <c r="R91" s="5">
        <v>88700</v>
      </c>
      <c r="S91" s="5">
        <f t="shared" si="20"/>
        <v>16745013</v>
      </c>
      <c r="U91" s="6">
        <v>45013</v>
      </c>
      <c r="V91" s="8">
        <v>10088656</v>
      </c>
      <c r="W91" s="8">
        <v>3299850</v>
      </c>
      <c r="X91" s="8">
        <v>353980</v>
      </c>
      <c r="Y91" s="5">
        <f t="shared" si="22"/>
        <v>13742486</v>
      </c>
      <c r="Z91" s="5"/>
      <c r="AA91" s="8">
        <v>14900</v>
      </c>
      <c r="AB91" s="5">
        <f t="shared" si="23"/>
        <v>13757386</v>
      </c>
      <c r="AD91" s="6">
        <v>45378</v>
      </c>
      <c r="AE91" s="8">
        <v>6258459</v>
      </c>
      <c r="AF91" s="8">
        <v>2193210</v>
      </c>
      <c r="AG91" s="8">
        <v>527710</v>
      </c>
      <c r="AH91" s="5">
        <f t="shared" si="16"/>
        <v>8979379</v>
      </c>
      <c r="AI91" s="5">
        <v>1956500</v>
      </c>
      <c r="AJ91" s="8">
        <v>0</v>
      </c>
      <c r="AK91" s="5">
        <f t="shared" si="26"/>
        <v>10935879</v>
      </c>
      <c r="AM91" s="6">
        <v>45744</v>
      </c>
      <c r="AN91" s="8">
        <v>6686997</v>
      </c>
      <c r="AO91" s="8">
        <v>1495620</v>
      </c>
      <c r="AP91" s="8">
        <v>208670</v>
      </c>
      <c r="AQ91" s="5">
        <f t="shared" si="15"/>
        <v>8391287</v>
      </c>
      <c r="AR91" s="5">
        <v>728740</v>
      </c>
      <c r="AS91" s="5"/>
      <c r="AT91" s="8">
        <f t="shared" si="24"/>
        <v>728740</v>
      </c>
      <c r="AU91" s="5"/>
      <c r="AV91" s="5">
        <f t="shared" si="28"/>
        <v>9120027</v>
      </c>
      <c r="AX91" s="6">
        <v>46110</v>
      </c>
      <c r="AY91" s="8">
        <v>4138400</v>
      </c>
      <c r="AZ91" s="8">
        <v>738960</v>
      </c>
      <c r="BA91" s="8">
        <v>62180</v>
      </c>
      <c r="BB91" s="5">
        <f t="shared" si="29"/>
        <v>4939540</v>
      </c>
      <c r="BC91" s="5">
        <v>611450</v>
      </c>
      <c r="BD91" s="5">
        <v>119600</v>
      </c>
      <c r="BE91" s="8">
        <f t="shared" si="25"/>
        <v>731050</v>
      </c>
      <c r="BF91" s="5">
        <v>62500</v>
      </c>
      <c r="BG91" s="5">
        <f t="shared" si="21"/>
        <v>5733090</v>
      </c>
    </row>
    <row r="92" spans="1:59">
      <c r="A92" s="6">
        <v>43922</v>
      </c>
      <c r="B92" s="8">
        <v>11221966</v>
      </c>
      <c r="C92" s="8">
        <v>4426190</v>
      </c>
      <c r="D92" s="7">
        <f t="shared" si="17"/>
        <v>15648156</v>
      </c>
      <c r="F92" s="6">
        <v>44286</v>
      </c>
      <c r="G92" s="5">
        <v>13295675</v>
      </c>
      <c r="H92" s="5">
        <v>1542730</v>
      </c>
      <c r="I92" s="8">
        <v>932840</v>
      </c>
      <c r="K92" s="7">
        <f t="shared" si="18"/>
        <v>15771245</v>
      </c>
      <c r="M92" s="6">
        <v>44650</v>
      </c>
      <c r="N92" s="5">
        <v>12022156</v>
      </c>
      <c r="O92" s="5">
        <v>4362590</v>
      </c>
      <c r="P92" s="5">
        <v>317190</v>
      </c>
      <c r="Q92" s="5">
        <f t="shared" si="19"/>
        <v>16701936</v>
      </c>
      <c r="R92" s="5">
        <v>156100</v>
      </c>
      <c r="S92" s="5">
        <f t="shared" si="20"/>
        <v>16858036</v>
      </c>
      <c r="U92" s="6">
        <v>45014</v>
      </c>
      <c r="V92" s="8">
        <v>12240962</v>
      </c>
      <c r="W92" s="8">
        <v>2897400</v>
      </c>
      <c r="X92" s="8">
        <v>424010</v>
      </c>
      <c r="Y92" s="5">
        <f t="shared" si="22"/>
        <v>15562372</v>
      </c>
      <c r="Z92" s="5"/>
      <c r="AA92" s="8">
        <v>0</v>
      </c>
      <c r="AB92" s="5">
        <f t="shared" si="23"/>
        <v>15562372</v>
      </c>
      <c r="AD92" s="6">
        <v>45379</v>
      </c>
      <c r="AE92" s="8">
        <v>13162059</v>
      </c>
      <c r="AF92" s="8">
        <v>1424160</v>
      </c>
      <c r="AG92" s="8">
        <v>239070</v>
      </c>
      <c r="AH92" s="5">
        <f t="shared" si="16"/>
        <v>14825289</v>
      </c>
      <c r="AI92" s="5">
        <v>1845820</v>
      </c>
      <c r="AJ92" s="8">
        <v>0</v>
      </c>
      <c r="AK92" s="5">
        <f t="shared" si="26"/>
        <v>16671109</v>
      </c>
      <c r="AM92" s="6">
        <v>45745</v>
      </c>
      <c r="AN92" s="8">
        <v>3837313</v>
      </c>
      <c r="AO92" s="8">
        <v>1415956</v>
      </c>
      <c r="AP92" s="8">
        <v>238020</v>
      </c>
      <c r="AQ92" s="5">
        <f t="shared" si="15"/>
        <v>5491289</v>
      </c>
      <c r="AR92" s="5">
        <v>327040</v>
      </c>
      <c r="AS92" s="5"/>
      <c r="AT92" s="8">
        <f t="shared" si="24"/>
        <v>327040</v>
      </c>
      <c r="AU92" s="5"/>
      <c r="AV92" s="5">
        <f t="shared" si="28"/>
        <v>5818329</v>
      </c>
      <c r="AX92" s="6">
        <v>46111</v>
      </c>
      <c r="AY92" s="8">
        <v>13412890</v>
      </c>
      <c r="AZ92" s="8">
        <v>1171580</v>
      </c>
      <c r="BA92" s="8">
        <v>159930</v>
      </c>
      <c r="BB92" s="5">
        <f t="shared" si="29"/>
        <v>14744400</v>
      </c>
      <c r="BC92" s="5">
        <v>1179820</v>
      </c>
      <c r="BD92" s="5">
        <v>252600</v>
      </c>
      <c r="BE92" s="8">
        <f t="shared" si="25"/>
        <v>1432420</v>
      </c>
      <c r="BF92" s="5">
        <v>178670</v>
      </c>
      <c r="BG92" s="5">
        <f t="shared" si="21"/>
        <v>16355490</v>
      </c>
    </row>
    <row r="93" spans="1:59">
      <c r="A93" s="6">
        <v>43923</v>
      </c>
      <c r="B93" s="8">
        <v>14001913</v>
      </c>
      <c r="C93" s="8">
        <v>6304060</v>
      </c>
      <c r="D93" s="7">
        <f t="shared" si="17"/>
        <v>20305973</v>
      </c>
      <c r="F93" s="6">
        <v>44287</v>
      </c>
      <c r="G93" s="5">
        <v>14714323</v>
      </c>
      <c r="H93" s="5">
        <v>2394040</v>
      </c>
      <c r="I93" s="8">
        <v>501500</v>
      </c>
      <c r="K93" s="7">
        <f t="shared" si="18"/>
        <v>17609863</v>
      </c>
      <c r="M93" s="6">
        <v>44651</v>
      </c>
      <c r="N93" s="5">
        <v>13508459</v>
      </c>
      <c r="O93" s="5">
        <v>5907490</v>
      </c>
      <c r="P93" s="5">
        <v>178650</v>
      </c>
      <c r="Q93" s="5">
        <f t="shared" si="19"/>
        <v>19594599</v>
      </c>
      <c r="R93" s="5">
        <v>313636</v>
      </c>
      <c r="S93" s="5">
        <f t="shared" si="20"/>
        <v>19908235</v>
      </c>
      <c r="U93" s="6">
        <v>45015</v>
      </c>
      <c r="V93" s="8">
        <v>10134815</v>
      </c>
      <c r="W93" s="8">
        <v>3318990</v>
      </c>
      <c r="X93" s="8">
        <v>91530</v>
      </c>
      <c r="Y93" s="5">
        <f t="shared" si="22"/>
        <v>13545335</v>
      </c>
      <c r="Z93" s="5"/>
      <c r="AA93" s="8">
        <v>0</v>
      </c>
      <c r="AB93" s="5">
        <f t="shared" si="23"/>
        <v>13545335</v>
      </c>
      <c r="AD93" s="6">
        <v>45380</v>
      </c>
      <c r="AE93" s="8">
        <v>11889376</v>
      </c>
      <c r="AF93" s="8">
        <v>1096990</v>
      </c>
      <c r="AG93" s="8">
        <v>154200</v>
      </c>
      <c r="AH93" s="5">
        <f t="shared" si="16"/>
        <v>13140566</v>
      </c>
      <c r="AI93" s="5">
        <v>1375140</v>
      </c>
      <c r="AJ93" s="8">
        <v>0</v>
      </c>
      <c r="AK93" s="5">
        <f t="shared" si="26"/>
        <v>14515706</v>
      </c>
      <c r="AM93" s="6">
        <v>45746</v>
      </c>
      <c r="AN93" s="8">
        <v>11136556</v>
      </c>
      <c r="AO93" s="8">
        <v>1630760</v>
      </c>
      <c r="AP93" s="8">
        <v>274760</v>
      </c>
      <c r="AQ93" s="5">
        <f t="shared" si="15"/>
        <v>13042076</v>
      </c>
      <c r="AR93" s="5">
        <v>595910</v>
      </c>
      <c r="AS93" s="5"/>
      <c r="AT93" s="8">
        <f t="shared" si="24"/>
        <v>595910</v>
      </c>
      <c r="AU93" s="5"/>
      <c r="AV93" s="5">
        <f t="shared" si="28"/>
        <v>13637986</v>
      </c>
      <c r="AX93" s="6">
        <v>46112</v>
      </c>
      <c r="AY93" s="8">
        <v>15997390</v>
      </c>
      <c r="AZ93" s="8">
        <v>2153910</v>
      </c>
      <c r="BA93" s="8">
        <v>324980</v>
      </c>
      <c r="BB93" s="5">
        <f t="shared" si="29"/>
        <v>18476280</v>
      </c>
      <c r="BC93" s="5">
        <v>613600</v>
      </c>
      <c r="BD93" s="5">
        <v>255380</v>
      </c>
      <c r="BE93" s="8">
        <f t="shared" si="25"/>
        <v>868980</v>
      </c>
      <c r="BF93" s="5">
        <v>123380</v>
      </c>
      <c r="BG93" s="5">
        <f t="shared" si="21"/>
        <v>19468640</v>
      </c>
    </row>
    <row r="94" spans="1:59">
      <c r="A94" s="6">
        <v>43924</v>
      </c>
      <c r="B94" s="8">
        <v>6881887</v>
      </c>
      <c r="C94" s="8">
        <v>5135815</v>
      </c>
      <c r="D94" s="7">
        <f t="shared" si="17"/>
        <v>12017702</v>
      </c>
      <c r="F94" s="6">
        <v>44288</v>
      </c>
      <c r="G94" s="5">
        <v>6669767</v>
      </c>
      <c r="H94" s="5">
        <v>1569820</v>
      </c>
      <c r="I94" s="8">
        <v>472820</v>
      </c>
      <c r="K94" s="7">
        <f t="shared" si="18"/>
        <v>8712407</v>
      </c>
      <c r="M94" s="6">
        <v>44652</v>
      </c>
      <c r="N94" s="5">
        <v>9635923</v>
      </c>
      <c r="O94" s="5">
        <v>2349090</v>
      </c>
      <c r="P94" s="5">
        <v>245130</v>
      </c>
      <c r="Q94" s="5">
        <f t="shared" si="19"/>
        <v>12230143</v>
      </c>
      <c r="R94" s="5">
        <v>181554</v>
      </c>
      <c r="S94" s="5">
        <f t="shared" si="20"/>
        <v>12411697</v>
      </c>
      <c r="U94" s="6">
        <v>45016</v>
      </c>
      <c r="V94" s="8">
        <v>9776049</v>
      </c>
      <c r="W94" s="8">
        <v>2865090</v>
      </c>
      <c r="X94" s="8">
        <v>202220</v>
      </c>
      <c r="Y94" s="5">
        <f t="shared" si="22"/>
        <v>12843359</v>
      </c>
      <c r="Z94" s="5"/>
      <c r="AA94" s="8">
        <v>28310</v>
      </c>
      <c r="AB94" s="5">
        <f t="shared" si="23"/>
        <v>12871669</v>
      </c>
      <c r="AD94" s="6">
        <v>45381</v>
      </c>
      <c r="AE94" s="8">
        <v>6066075</v>
      </c>
      <c r="AF94" s="8">
        <v>746460</v>
      </c>
      <c r="AG94" s="8">
        <v>218500</v>
      </c>
      <c r="AH94" s="5">
        <f t="shared" si="16"/>
        <v>7031035</v>
      </c>
      <c r="AI94" s="5">
        <v>1219820</v>
      </c>
      <c r="AJ94" s="8">
        <v>20400</v>
      </c>
      <c r="AK94" s="5">
        <f t="shared" si="26"/>
        <v>8271255</v>
      </c>
      <c r="AM94" s="6">
        <v>45747</v>
      </c>
      <c r="AN94" s="8">
        <v>7780483</v>
      </c>
      <c r="AO94" s="8">
        <v>1219700</v>
      </c>
      <c r="AP94" s="8">
        <v>709410</v>
      </c>
      <c r="AQ94" s="5">
        <f t="shared" si="15"/>
        <v>9709593</v>
      </c>
      <c r="AR94" s="5">
        <v>926330</v>
      </c>
      <c r="AS94" s="5"/>
      <c r="AT94" s="8">
        <f t="shared" si="24"/>
        <v>926330</v>
      </c>
      <c r="AU94" s="5"/>
      <c r="AV94" s="5">
        <f t="shared" si="28"/>
        <v>10635923</v>
      </c>
      <c r="AX94" s="6">
        <v>46113</v>
      </c>
      <c r="AY94" s="8">
        <v>17333980</v>
      </c>
      <c r="AZ94" s="8">
        <v>2127680</v>
      </c>
      <c r="BA94" s="8">
        <v>182880</v>
      </c>
      <c r="BB94" s="5">
        <f t="shared" si="29"/>
        <v>19644540</v>
      </c>
      <c r="BC94" s="5">
        <v>960450</v>
      </c>
      <c r="BD94" s="5">
        <v>182400</v>
      </c>
      <c r="BE94" s="8">
        <f t="shared" si="25"/>
        <v>1142850</v>
      </c>
      <c r="BF94" s="5">
        <v>228390</v>
      </c>
      <c r="BG94" s="5">
        <f t="shared" si="21"/>
        <v>21015780</v>
      </c>
    </row>
    <row r="95" spans="1:59">
      <c r="A95" s="6">
        <v>43925</v>
      </c>
      <c r="B95" s="8">
        <v>23440</v>
      </c>
      <c r="D95" s="7">
        <f t="shared" si="17"/>
        <v>23440</v>
      </c>
      <c r="F95" s="6">
        <v>44289</v>
      </c>
      <c r="G95" s="5">
        <v>4052734</v>
      </c>
      <c r="H95" s="5">
        <v>1552280</v>
      </c>
      <c r="I95" s="8">
        <v>237890</v>
      </c>
      <c r="K95" s="7">
        <f t="shared" si="18"/>
        <v>5842904</v>
      </c>
      <c r="M95" s="6">
        <v>44653</v>
      </c>
      <c r="N95" s="5">
        <v>1754869</v>
      </c>
      <c r="O95" s="5">
        <v>1011770</v>
      </c>
      <c r="P95" s="5">
        <v>195570</v>
      </c>
      <c r="Q95" s="5">
        <f t="shared" si="19"/>
        <v>2962209</v>
      </c>
      <c r="R95" s="5">
        <v>158730</v>
      </c>
      <c r="S95" s="5">
        <f t="shared" si="20"/>
        <v>3120939</v>
      </c>
      <c r="U95" s="6">
        <v>45017</v>
      </c>
      <c r="V95" s="8">
        <v>1094534</v>
      </c>
      <c r="W95" s="8">
        <v>795740</v>
      </c>
      <c r="X95" s="8">
        <v>305490</v>
      </c>
      <c r="Y95" s="5">
        <f t="shared" si="22"/>
        <v>2195764</v>
      </c>
      <c r="Z95" s="5"/>
      <c r="AA95" s="8">
        <v>29800</v>
      </c>
      <c r="AB95" s="5">
        <f t="shared" si="23"/>
        <v>2225564</v>
      </c>
      <c r="AD95" s="6">
        <v>45382</v>
      </c>
      <c r="AE95" s="8">
        <v>1008115</v>
      </c>
      <c r="AF95" s="8">
        <v>845390</v>
      </c>
      <c r="AG95" s="8">
        <v>232060</v>
      </c>
      <c r="AH95" s="5">
        <f t="shared" si="16"/>
        <v>2085565</v>
      </c>
      <c r="AI95" s="5">
        <v>1886420</v>
      </c>
      <c r="AJ95" s="8">
        <v>0</v>
      </c>
      <c r="AK95" s="5">
        <f t="shared" si="26"/>
        <v>3971985</v>
      </c>
      <c r="AM95" s="6">
        <v>45748</v>
      </c>
      <c r="AN95" s="8">
        <v>15926933</v>
      </c>
      <c r="AO95" s="8">
        <v>1738140</v>
      </c>
      <c r="AP95" s="8">
        <v>763000</v>
      </c>
      <c r="AQ95" s="5">
        <f t="shared" si="15"/>
        <v>18428073</v>
      </c>
      <c r="AR95" s="5">
        <v>2163260</v>
      </c>
      <c r="AS95" s="5"/>
      <c r="AT95" s="8">
        <f t="shared" si="24"/>
        <v>2163260</v>
      </c>
      <c r="AU95" s="5"/>
      <c r="AV95" s="5">
        <f t="shared" si="28"/>
        <v>20591333</v>
      </c>
      <c r="AX95" s="6">
        <v>46114</v>
      </c>
      <c r="AY95" s="8">
        <v>10827720</v>
      </c>
      <c r="AZ95" s="8">
        <v>1175400</v>
      </c>
      <c r="BA95" s="8">
        <v>295960</v>
      </c>
      <c r="BB95" s="5">
        <f t="shared" si="29"/>
        <v>12299080</v>
      </c>
      <c r="BC95" s="5">
        <v>964440</v>
      </c>
      <c r="BD95" s="5">
        <v>149860</v>
      </c>
      <c r="BE95" s="8">
        <f t="shared" si="25"/>
        <v>1114300</v>
      </c>
      <c r="BF95" s="5">
        <v>46800</v>
      </c>
      <c r="BG95" s="5">
        <f t="shared" si="21"/>
        <v>13460180</v>
      </c>
    </row>
    <row r="96" spans="1:59">
      <c r="A96" s="6">
        <v>43926</v>
      </c>
      <c r="B96" s="8">
        <v>9696697</v>
      </c>
      <c r="C96" s="8">
        <v>6647520</v>
      </c>
      <c r="D96" s="7">
        <f t="shared" si="17"/>
        <v>16344217</v>
      </c>
      <c r="F96" s="6">
        <v>44290</v>
      </c>
      <c r="G96" s="5">
        <v>4725113</v>
      </c>
      <c r="H96" s="5">
        <v>1909610</v>
      </c>
      <c r="I96" s="8">
        <v>335980</v>
      </c>
      <c r="K96" s="7">
        <f t="shared" si="18"/>
        <v>6970703</v>
      </c>
      <c r="M96" s="6">
        <v>44654</v>
      </c>
      <c r="N96" s="5">
        <v>3174887</v>
      </c>
      <c r="O96" s="5">
        <v>1348170</v>
      </c>
      <c r="P96" s="5">
        <v>366110</v>
      </c>
      <c r="Q96" s="5">
        <f t="shared" si="19"/>
        <v>4889167</v>
      </c>
      <c r="R96" s="5">
        <v>168276</v>
      </c>
      <c r="S96" s="5">
        <f t="shared" si="20"/>
        <v>5057443</v>
      </c>
      <c r="U96" s="6">
        <v>45018</v>
      </c>
      <c r="V96" s="8">
        <v>664480</v>
      </c>
      <c r="W96" s="8">
        <v>568691</v>
      </c>
      <c r="X96" s="8">
        <v>369180</v>
      </c>
      <c r="Y96" s="5">
        <f t="shared" si="22"/>
        <v>1602351</v>
      </c>
      <c r="Z96" s="5"/>
      <c r="AA96" s="8">
        <v>28310</v>
      </c>
      <c r="AB96" s="5">
        <f t="shared" si="23"/>
        <v>1630661</v>
      </c>
      <c r="AD96" s="6">
        <v>45383</v>
      </c>
      <c r="AE96" s="8">
        <v>14216329</v>
      </c>
      <c r="AF96" s="8">
        <v>1860920</v>
      </c>
      <c r="AG96" s="8">
        <v>460050</v>
      </c>
      <c r="AH96" s="5">
        <f t="shared" si="16"/>
        <v>16537299</v>
      </c>
      <c r="AI96" s="5">
        <v>3864720</v>
      </c>
      <c r="AJ96" s="8">
        <v>15500</v>
      </c>
      <c r="AK96" s="5">
        <f t="shared" si="26"/>
        <v>20417519</v>
      </c>
      <c r="AM96" s="6">
        <v>45749</v>
      </c>
      <c r="AN96" s="8">
        <v>16805367</v>
      </c>
      <c r="AO96" s="8">
        <v>2940800</v>
      </c>
      <c r="AP96" s="8">
        <v>658520</v>
      </c>
      <c r="AQ96" s="5">
        <f t="shared" si="15"/>
        <v>20404687</v>
      </c>
      <c r="AR96" s="5">
        <v>1254360</v>
      </c>
      <c r="AS96" s="5"/>
      <c r="AT96" s="8">
        <f t="shared" si="24"/>
        <v>1254360</v>
      </c>
      <c r="AU96" s="5"/>
      <c r="AV96" s="5">
        <f t="shared" si="28"/>
        <v>21659047</v>
      </c>
      <c r="AX96" s="6">
        <v>46115</v>
      </c>
      <c r="AY96" s="8">
        <v>5194630</v>
      </c>
      <c r="AZ96" s="8">
        <v>863470</v>
      </c>
      <c r="BA96" s="8">
        <v>149410</v>
      </c>
      <c r="BB96" s="5">
        <f t="shared" si="29"/>
        <v>6207510</v>
      </c>
      <c r="BC96" s="5">
        <v>452180</v>
      </c>
      <c r="BD96" s="5">
        <v>212300</v>
      </c>
      <c r="BE96" s="8">
        <f t="shared" si="25"/>
        <v>664480</v>
      </c>
      <c r="BF96" s="5">
        <v>180750</v>
      </c>
      <c r="BG96" s="5">
        <f t="shared" si="21"/>
        <v>7052740</v>
      </c>
    </row>
    <row r="97" spans="1:59">
      <c r="A97" s="6">
        <v>43927</v>
      </c>
      <c r="B97" s="8">
        <v>11890</v>
      </c>
      <c r="D97" s="7">
        <f t="shared" si="17"/>
        <v>11890</v>
      </c>
      <c r="F97" s="6">
        <v>44291</v>
      </c>
      <c r="G97" s="5">
        <v>9542800</v>
      </c>
      <c r="H97" s="5">
        <v>2563340</v>
      </c>
      <c r="I97" s="8">
        <v>115700</v>
      </c>
      <c r="K97" s="7">
        <f t="shared" si="18"/>
        <v>12221840</v>
      </c>
      <c r="M97" s="6">
        <v>44655</v>
      </c>
      <c r="N97" s="5">
        <v>5048067</v>
      </c>
      <c r="O97" s="5">
        <v>2673320</v>
      </c>
      <c r="P97" s="5">
        <v>426210</v>
      </c>
      <c r="Q97" s="5">
        <f t="shared" si="19"/>
        <v>8147597</v>
      </c>
      <c r="R97" s="5">
        <v>361834</v>
      </c>
      <c r="S97" s="5">
        <f t="shared" si="20"/>
        <v>8509431</v>
      </c>
      <c r="U97" s="6">
        <v>45019</v>
      </c>
      <c r="V97" s="8">
        <v>10436936</v>
      </c>
      <c r="W97" s="8">
        <v>2626300</v>
      </c>
      <c r="X97" s="8">
        <v>366310</v>
      </c>
      <c r="Y97" s="5">
        <f t="shared" si="22"/>
        <v>13429546</v>
      </c>
      <c r="Z97" s="5"/>
      <c r="AA97" s="8">
        <v>28310</v>
      </c>
      <c r="AB97" s="5">
        <f t="shared" si="23"/>
        <v>13457856</v>
      </c>
      <c r="AD97" s="6">
        <v>45384</v>
      </c>
      <c r="AE97" s="8">
        <v>17877533</v>
      </c>
      <c r="AF97" s="8">
        <v>3321850</v>
      </c>
      <c r="AG97" s="8">
        <v>448770</v>
      </c>
      <c r="AH97" s="5">
        <f t="shared" si="16"/>
        <v>21648153</v>
      </c>
      <c r="AI97" s="5">
        <v>2368100</v>
      </c>
      <c r="AJ97" s="8">
        <v>30500</v>
      </c>
      <c r="AK97" s="5">
        <f t="shared" si="26"/>
        <v>24046753</v>
      </c>
      <c r="AM97" s="6">
        <v>45750</v>
      </c>
      <c r="AN97" s="8">
        <v>12790034</v>
      </c>
      <c r="AO97" s="8">
        <v>2158470</v>
      </c>
      <c r="AP97" s="8">
        <v>478690</v>
      </c>
      <c r="AQ97" s="5">
        <f>SUM(AN97:AP97)</f>
        <v>15427194</v>
      </c>
      <c r="AR97" s="5">
        <v>3578029</v>
      </c>
      <c r="AS97" s="5"/>
      <c r="AT97" s="8">
        <f t="shared" si="24"/>
        <v>3578029</v>
      </c>
      <c r="AU97" s="5"/>
      <c r="AV97" s="5">
        <f>AQ97+AT97</f>
        <v>19005223</v>
      </c>
      <c r="AX97" s="6">
        <v>46116</v>
      </c>
      <c r="AY97" s="8">
        <v>3368450</v>
      </c>
      <c r="AZ97" s="8">
        <v>735320</v>
      </c>
      <c r="BA97" s="8">
        <v>197880</v>
      </c>
      <c r="BB97" s="5">
        <f t="shared" si="29"/>
        <v>4301650</v>
      </c>
      <c r="BC97" s="5">
        <v>530690</v>
      </c>
      <c r="BD97" s="5">
        <v>119600</v>
      </c>
      <c r="BE97" s="8">
        <f t="shared" si="25"/>
        <v>650290</v>
      </c>
      <c r="BF97" s="5">
        <v>300160</v>
      </c>
      <c r="BG97" s="5">
        <f t="shared" si="21"/>
        <v>5252100</v>
      </c>
    </row>
    <row r="98" spans="1:59">
      <c r="A98" s="6">
        <v>43928</v>
      </c>
      <c r="B98" s="8">
        <v>5654276</v>
      </c>
      <c r="C98" s="8">
        <v>1784820</v>
      </c>
      <c r="D98" s="7">
        <f t="shared" si="17"/>
        <v>7439096</v>
      </c>
      <c r="F98" s="6">
        <v>44292</v>
      </c>
      <c r="G98" s="5">
        <v>8971841</v>
      </c>
      <c r="H98" s="5">
        <v>1704980</v>
      </c>
      <c r="I98" s="8">
        <v>549410</v>
      </c>
      <c r="K98" s="7">
        <f t="shared" si="18"/>
        <v>11226231</v>
      </c>
      <c r="M98" s="6">
        <v>44656</v>
      </c>
      <c r="N98" s="5">
        <v>6852380</v>
      </c>
      <c r="O98" s="5">
        <v>3145960</v>
      </c>
      <c r="P98" s="5">
        <v>319610</v>
      </c>
      <c r="Q98" s="5">
        <f t="shared" si="19"/>
        <v>10317950</v>
      </c>
      <c r="R98" s="5">
        <v>199584</v>
      </c>
      <c r="S98" s="5">
        <f t="shared" si="20"/>
        <v>10517534</v>
      </c>
      <c r="U98" s="6">
        <v>45020</v>
      </c>
      <c r="V98" s="8">
        <v>10823551</v>
      </c>
      <c r="W98" s="8">
        <v>3926350</v>
      </c>
      <c r="X98" s="8">
        <v>261050</v>
      </c>
      <c r="Y98" s="5">
        <f t="shared" si="22"/>
        <v>15010951</v>
      </c>
      <c r="Z98" s="5"/>
      <c r="AA98" s="8">
        <v>55530</v>
      </c>
      <c r="AB98" s="5">
        <f t="shared" si="23"/>
        <v>15066481</v>
      </c>
      <c r="AD98" s="6">
        <v>45385</v>
      </c>
      <c r="AE98" s="8">
        <v>9258666</v>
      </c>
      <c r="AF98" s="8">
        <v>2491340</v>
      </c>
      <c r="AG98" s="8">
        <v>299850</v>
      </c>
      <c r="AH98" s="5">
        <f t="shared" si="16"/>
        <v>12049856</v>
      </c>
      <c r="AI98" s="5">
        <v>1601800</v>
      </c>
      <c r="AJ98" s="8">
        <v>0</v>
      </c>
      <c r="AK98" s="5">
        <f t="shared" si="26"/>
        <v>13651656</v>
      </c>
      <c r="AM98" s="6">
        <v>45751</v>
      </c>
      <c r="AN98" s="8">
        <v>6810808</v>
      </c>
      <c r="AO98" s="8">
        <v>2067900</v>
      </c>
      <c r="AP98" s="8">
        <v>293700</v>
      </c>
      <c r="AQ98" s="5">
        <f t="shared" ref="AQ98:AQ121" si="30">SUM(AN98:AP98)</f>
        <v>9172408</v>
      </c>
      <c r="AR98" s="5">
        <v>2218672</v>
      </c>
      <c r="AS98" s="5"/>
      <c r="AT98" s="8">
        <f t="shared" si="24"/>
        <v>2218672</v>
      </c>
      <c r="AU98" s="5"/>
      <c r="AV98" s="5">
        <f>AQ98+AT98</f>
        <v>11391080</v>
      </c>
      <c r="AX98" s="6">
        <v>46117</v>
      </c>
      <c r="AY98" s="8">
        <v>4293970</v>
      </c>
      <c r="AZ98" s="8">
        <v>545670</v>
      </c>
      <c r="BA98" s="8">
        <v>109300</v>
      </c>
      <c r="BB98" s="5">
        <f t="shared" si="29"/>
        <v>4948940</v>
      </c>
      <c r="BC98" s="5">
        <v>762270</v>
      </c>
      <c r="BD98" s="5">
        <v>454260</v>
      </c>
      <c r="BE98" s="8">
        <f t="shared" si="25"/>
        <v>1216530</v>
      </c>
      <c r="BF98" s="5">
        <v>262625</v>
      </c>
      <c r="BG98" s="5">
        <f t="shared" si="21"/>
        <v>6428095</v>
      </c>
    </row>
    <row r="99" spans="1:59">
      <c r="A99" s="6">
        <v>43929</v>
      </c>
      <c r="B99" s="8">
        <v>11428543</v>
      </c>
      <c r="C99" s="8">
        <v>3894320</v>
      </c>
      <c r="D99" s="7">
        <f t="shared" si="17"/>
        <v>15322863</v>
      </c>
      <c r="F99" s="6">
        <v>44293</v>
      </c>
      <c r="G99" s="5">
        <v>7467001</v>
      </c>
      <c r="H99" s="5">
        <v>1938110</v>
      </c>
      <c r="I99" s="8">
        <v>205560</v>
      </c>
      <c r="K99" s="7">
        <f t="shared" si="18"/>
        <v>9610671</v>
      </c>
      <c r="M99" s="6">
        <v>44657</v>
      </c>
      <c r="N99" s="5">
        <v>6929369</v>
      </c>
      <c r="O99" s="5">
        <v>2394570</v>
      </c>
      <c r="P99" s="5">
        <v>335980</v>
      </c>
      <c r="Q99" s="5">
        <f t="shared" si="19"/>
        <v>9659919</v>
      </c>
      <c r="R99" s="5">
        <v>225754</v>
      </c>
      <c r="S99" s="5">
        <f t="shared" si="20"/>
        <v>9885673</v>
      </c>
      <c r="U99" s="6">
        <v>45021</v>
      </c>
      <c r="V99" s="8">
        <v>9809902</v>
      </c>
      <c r="W99" s="8">
        <v>3831120</v>
      </c>
      <c r="X99" s="8">
        <v>341290</v>
      </c>
      <c r="Y99" s="5">
        <f t="shared" si="22"/>
        <v>13982312</v>
      </c>
      <c r="Z99" s="5"/>
      <c r="AA99" s="8">
        <v>14900</v>
      </c>
      <c r="AB99" s="5">
        <f t="shared" si="23"/>
        <v>13997212</v>
      </c>
      <c r="AD99" s="6">
        <v>45386</v>
      </c>
      <c r="AE99" s="8">
        <v>11877966</v>
      </c>
      <c r="AF99" s="8">
        <v>2778050</v>
      </c>
      <c r="AG99" s="8">
        <v>519540</v>
      </c>
      <c r="AH99" s="5">
        <f t="shared" si="16"/>
        <v>15175556</v>
      </c>
      <c r="AI99" s="5">
        <v>5092080</v>
      </c>
      <c r="AJ99" s="8">
        <v>0</v>
      </c>
      <c r="AK99" s="5">
        <f t="shared" si="26"/>
        <v>20267636</v>
      </c>
      <c r="AM99" s="6">
        <v>45752</v>
      </c>
      <c r="AN99" s="8">
        <v>5768105</v>
      </c>
      <c r="AO99" s="8">
        <v>989890</v>
      </c>
      <c r="AP99" s="8">
        <v>437770</v>
      </c>
      <c r="AQ99" s="5">
        <f t="shared" si="30"/>
        <v>7195765</v>
      </c>
      <c r="AR99" s="5">
        <v>1106620</v>
      </c>
      <c r="AS99" s="5"/>
      <c r="AT99" s="8">
        <f t="shared" si="24"/>
        <v>1106620</v>
      </c>
      <c r="AU99" s="5"/>
      <c r="AV99" s="5">
        <f t="shared" si="28"/>
        <v>8302385</v>
      </c>
      <c r="AX99" s="6">
        <v>46118</v>
      </c>
      <c r="AY99" s="8">
        <v>7313660</v>
      </c>
      <c r="AZ99" s="8">
        <v>1099320</v>
      </c>
      <c r="BA99" s="8">
        <v>254320</v>
      </c>
      <c r="BB99" s="5">
        <f t="shared" si="29"/>
        <v>8667300</v>
      </c>
      <c r="BC99" s="5">
        <v>1578280</v>
      </c>
      <c r="BD99" s="5">
        <v>579500</v>
      </c>
      <c r="BE99" s="8">
        <f t="shared" si="25"/>
        <v>2157780</v>
      </c>
      <c r="BF99" s="5">
        <v>351100</v>
      </c>
      <c r="BG99" s="5">
        <f t="shared" si="21"/>
        <v>11176180</v>
      </c>
    </row>
    <row r="100" spans="1:59">
      <c r="A100" s="6">
        <v>43930</v>
      </c>
      <c r="B100" s="8">
        <v>11609507</v>
      </c>
      <c r="C100" s="8">
        <v>4342514</v>
      </c>
      <c r="D100" s="7">
        <f t="shared" si="17"/>
        <v>15952021</v>
      </c>
      <c r="F100" s="6">
        <v>44294</v>
      </c>
      <c r="G100" s="5">
        <v>7835911</v>
      </c>
      <c r="H100" s="5">
        <v>1347480</v>
      </c>
      <c r="I100" s="8">
        <v>283580</v>
      </c>
      <c r="K100" s="7">
        <f t="shared" si="18"/>
        <v>9466971</v>
      </c>
      <c r="M100" s="6">
        <v>44658</v>
      </c>
      <c r="N100" s="5">
        <v>7862444</v>
      </c>
      <c r="O100" s="5">
        <v>3238150</v>
      </c>
      <c r="P100" s="5">
        <v>287970</v>
      </c>
      <c r="Q100" s="5">
        <f t="shared" si="19"/>
        <v>11388564</v>
      </c>
      <c r="R100" s="5">
        <v>1820302</v>
      </c>
      <c r="S100" s="5">
        <f t="shared" si="20"/>
        <v>13208866</v>
      </c>
      <c r="U100" s="6">
        <v>45022</v>
      </c>
      <c r="V100" s="8">
        <v>10334840</v>
      </c>
      <c r="W100" s="8">
        <v>3156160</v>
      </c>
      <c r="X100" s="8">
        <v>185210</v>
      </c>
      <c r="Y100" s="5">
        <f t="shared" si="22"/>
        <v>13676210</v>
      </c>
      <c r="Z100" s="5"/>
      <c r="AA100" s="8">
        <v>71520</v>
      </c>
      <c r="AB100" s="5">
        <f t="shared" si="23"/>
        <v>13747730</v>
      </c>
      <c r="AD100" s="6">
        <v>45387</v>
      </c>
      <c r="AE100" s="8">
        <v>12355947</v>
      </c>
      <c r="AF100" s="8">
        <v>2423160</v>
      </c>
      <c r="AG100" s="8">
        <v>267850</v>
      </c>
      <c r="AH100" s="5">
        <f t="shared" si="16"/>
        <v>15046957</v>
      </c>
      <c r="AI100" s="5">
        <v>2276120</v>
      </c>
      <c r="AJ100" s="8">
        <v>0</v>
      </c>
      <c r="AK100" s="5">
        <f t="shared" si="26"/>
        <v>17323077</v>
      </c>
      <c r="AM100" s="6">
        <v>45753</v>
      </c>
      <c r="AN100" s="8">
        <v>5376770</v>
      </c>
      <c r="AO100" s="8">
        <v>1172103</v>
      </c>
      <c r="AP100" s="8">
        <v>539550</v>
      </c>
      <c r="AQ100" s="5">
        <f t="shared" si="30"/>
        <v>7088423</v>
      </c>
      <c r="AR100" s="5">
        <v>1569280</v>
      </c>
      <c r="AS100" s="5"/>
      <c r="AT100" s="8">
        <f t="shared" si="24"/>
        <v>1569280</v>
      </c>
      <c r="AU100" s="5"/>
      <c r="AV100" s="5">
        <f t="shared" si="28"/>
        <v>8657703</v>
      </c>
      <c r="AX100" s="6">
        <v>46119</v>
      </c>
      <c r="AY100" s="8">
        <v>5122750</v>
      </c>
      <c r="AZ100" s="8">
        <v>1025540</v>
      </c>
      <c r="BA100" s="8">
        <v>166530</v>
      </c>
      <c r="BB100" s="5">
        <f t="shared" si="29"/>
        <v>6314820</v>
      </c>
      <c r="BC100" s="5">
        <v>1711950</v>
      </c>
      <c r="BD100" s="5">
        <v>283100</v>
      </c>
      <c r="BE100" s="8">
        <f t="shared" si="25"/>
        <v>1995050</v>
      </c>
      <c r="BF100" s="5">
        <v>358715</v>
      </c>
      <c r="BG100" s="5">
        <f t="shared" si="21"/>
        <v>8668585</v>
      </c>
    </row>
    <row r="101" spans="1:59">
      <c r="A101" s="6">
        <v>43931</v>
      </c>
      <c r="B101" s="8">
        <v>8736042</v>
      </c>
      <c r="C101" s="8">
        <v>5233130</v>
      </c>
      <c r="D101" s="7">
        <f t="shared" si="17"/>
        <v>13969172</v>
      </c>
      <c r="F101" s="6">
        <v>44295</v>
      </c>
      <c r="G101" s="5">
        <v>4656339</v>
      </c>
      <c r="H101" s="5">
        <v>1050760</v>
      </c>
      <c r="I101" s="8">
        <v>245610</v>
      </c>
      <c r="K101" s="7">
        <f t="shared" si="18"/>
        <v>5952709</v>
      </c>
      <c r="M101" s="6">
        <v>44659</v>
      </c>
      <c r="N101" s="5">
        <v>14187103</v>
      </c>
      <c r="O101" s="5">
        <v>1272530</v>
      </c>
      <c r="P101" s="5">
        <v>209540</v>
      </c>
      <c r="Q101" s="5">
        <f t="shared" si="19"/>
        <v>15669173</v>
      </c>
      <c r="R101" s="5">
        <v>344466</v>
      </c>
      <c r="S101" s="5">
        <f t="shared" si="20"/>
        <v>16013639</v>
      </c>
      <c r="U101" s="6">
        <v>45023</v>
      </c>
      <c r="V101" s="8">
        <v>4794529</v>
      </c>
      <c r="W101" s="8">
        <v>1658500</v>
      </c>
      <c r="X101" s="8">
        <v>245750</v>
      </c>
      <c r="Y101" s="5">
        <f t="shared" si="22"/>
        <v>6698779</v>
      </c>
      <c r="Z101" s="5"/>
      <c r="AA101" s="8">
        <v>14900</v>
      </c>
      <c r="AB101" s="5">
        <f t="shared" si="23"/>
        <v>6713679</v>
      </c>
      <c r="AD101" s="6">
        <v>45388</v>
      </c>
      <c r="AE101" s="8">
        <v>1393029</v>
      </c>
      <c r="AF101" s="8">
        <v>787000</v>
      </c>
      <c r="AG101" s="8">
        <v>392170</v>
      </c>
      <c r="AH101" s="5">
        <f t="shared" si="16"/>
        <v>2572199</v>
      </c>
      <c r="AI101" s="5">
        <v>1107600</v>
      </c>
      <c r="AJ101" s="8">
        <v>0</v>
      </c>
      <c r="AK101" s="5">
        <f t="shared" si="26"/>
        <v>3679799</v>
      </c>
      <c r="AM101" s="6">
        <v>45754</v>
      </c>
      <c r="AN101" s="8">
        <v>9051001</v>
      </c>
      <c r="AO101" s="8">
        <v>1954550</v>
      </c>
      <c r="AP101" s="8">
        <v>587210</v>
      </c>
      <c r="AQ101" s="5">
        <f t="shared" si="30"/>
        <v>11592761</v>
      </c>
      <c r="AR101" s="5">
        <v>1280114</v>
      </c>
      <c r="AS101" s="5"/>
      <c r="AT101" s="8">
        <f t="shared" si="24"/>
        <v>1280114</v>
      </c>
      <c r="AU101" s="5"/>
      <c r="AV101" s="5">
        <f t="shared" si="28"/>
        <v>12872875</v>
      </c>
      <c r="AX101" s="6">
        <v>46120</v>
      </c>
      <c r="AY101" s="8">
        <v>16027160</v>
      </c>
      <c r="AZ101" s="8">
        <v>1194980</v>
      </c>
      <c r="BA101" s="8">
        <v>68180</v>
      </c>
      <c r="BB101" s="5">
        <f t="shared" si="29"/>
        <v>17290320</v>
      </c>
      <c r="BC101" s="5">
        <v>1473710</v>
      </c>
      <c r="BD101" s="5">
        <v>323000</v>
      </c>
      <c r="BE101" s="8">
        <f t="shared" si="25"/>
        <v>1796710</v>
      </c>
      <c r="BF101" s="5">
        <v>196010</v>
      </c>
      <c r="BG101" s="5">
        <f t="shared" si="21"/>
        <v>19283040</v>
      </c>
    </row>
    <row r="102" spans="1:59">
      <c r="A102" s="6">
        <v>43932</v>
      </c>
      <c r="D102" s="7">
        <f t="shared" si="17"/>
        <v>0</v>
      </c>
      <c r="F102" s="6">
        <v>44296</v>
      </c>
      <c r="G102" s="5">
        <v>2962225</v>
      </c>
      <c r="H102" s="5">
        <v>907110</v>
      </c>
      <c r="I102" s="8">
        <v>162910</v>
      </c>
      <c r="K102" s="7">
        <f t="shared" si="18"/>
        <v>4032245</v>
      </c>
      <c r="M102" s="6">
        <v>44660</v>
      </c>
      <c r="N102" s="5">
        <v>968302</v>
      </c>
      <c r="O102" s="5">
        <v>1002400</v>
      </c>
      <c r="P102" s="5">
        <v>75300</v>
      </c>
      <c r="Q102" s="5">
        <f t="shared" si="19"/>
        <v>2046002</v>
      </c>
      <c r="R102" s="5">
        <v>86054</v>
      </c>
      <c r="S102" s="5">
        <f t="shared" si="20"/>
        <v>2132056</v>
      </c>
      <c r="U102" s="6">
        <v>45024</v>
      </c>
      <c r="V102" s="8">
        <v>2087335</v>
      </c>
      <c r="W102" s="8">
        <v>1253210</v>
      </c>
      <c r="X102" s="8">
        <v>89160</v>
      </c>
      <c r="Y102" s="5">
        <f t="shared" si="22"/>
        <v>3429705</v>
      </c>
      <c r="Z102" s="5"/>
      <c r="AA102" s="8">
        <v>14900</v>
      </c>
      <c r="AB102" s="5">
        <f t="shared" si="23"/>
        <v>3444605</v>
      </c>
      <c r="AD102" s="6">
        <v>45389</v>
      </c>
      <c r="AE102" s="8">
        <v>611611</v>
      </c>
      <c r="AF102" s="8">
        <v>307590</v>
      </c>
      <c r="AG102" s="8">
        <v>166130</v>
      </c>
      <c r="AH102" s="5">
        <f t="shared" si="16"/>
        <v>1085331</v>
      </c>
      <c r="AI102" s="5">
        <v>2100180</v>
      </c>
      <c r="AJ102" s="8">
        <v>0</v>
      </c>
      <c r="AK102" s="5">
        <f t="shared" si="26"/>
        <v>3185511</v>
      </c>
      <c r="AM102" s="6">
        <v>45755</v>
      </c>
      <c r="AN102" s="8">
        <v>12318901</v>
      </c>
      <c r="AO102" s="8">
        <v>2762080</v>
      </c>
      <c r="AP102" s="8">
        <v>550730</v>
      </c>
      <c r="AQ102" s="5">
        <f t="shared" si="30"/>
        <v>15631711</v>
      </c>
      <c r="AR102" s="5">
        <v>1201740</v>
      </c>
      <c r="AS102" s="5"/>
      <c r="AT102" s="8">
        <f t="shared" si="24"/>
        <v>1201740</v>
      </c>
      <c r="AU102" s="5"/>
      <c r="AV102" s="5">
        <f t="shared" si="28"/>
        <v>16833451</v>
      </c>
      <c r="AX102" s="6">
        <v>46121</v>
      </c>
      <c r="AY102" s="8">
        <v>13425840</v>
      </c>
      <c r="AZ102" s="8">
        <v>956510</v>
      </c>
      <c r="BA102" s="8">
        <v>283540</v>
      </c>
      <c r="BB102" s="5">
        <f t="shared" si="29"/>
        <v>14665890</v>
      </c>
      <c r="BC102" s="5">
        <v>1463790</v>
      </c>
      <c r="BD102" s="5">
        <v>279800</v>
      </c>
      <c r="BE102" s="8">
        <f t="shared" si="25"/>
        <v>1743590</v>
      </c>
      <c r="BF102" s="5">
        <v>237260</v>
      </c>
      <c r="BG102" s="5">
        <f t="shared" si="21"/>
        <v>16646740</v>
      </c>
    </row>
    <row r="103" spans="1:59">
      <c r="A103" s="6">
        <v>43933</v>
      </c>
      <c r="B103" s="8">
        <v>8451762</v>
      </c>
      <c r="C103" s="8">
        <v>6683930</v>
      </c>
      <c r="D103" s="7">
        <f t="shared" si="17"/>
        <v>15135692</v>
      </c>
      <c r="F103" s="6">
        <v>44297</v>
      </c>
      <c r="G103" s="5">
        <v>4329070</v>
      </c>
      <c r="H103" s="5">
        <v>1534754</v>
      </c>
      <c r="I103" s="8">
        <v>138660</v>
      </c>
      <c r="K103" s="7">
        <f t="shared" si="18"/>
        <v>6002484</v>
      </c>
      <c r="M103" s="6">
        <v>44661</v>
      </c>
      <c r="N103" s="5">
        <v>2550175</v>
      </c>
      <c r="O103" s="5">
        <v>1516810</v>
      </c>
      <c r="P103" s="5">
        <v>251740</v>
      </c>
      <c r="Q103" s="5">
        <f t="shared" si="19"/>
        <v>4318725</v>
      </c>
      <c r="R103" s="5">
        <v>160700</v>
      </c>
      <c r="S103" s="5">
        <f t="shared" si="20"/>
        <v>4479425</v>
      </c>
      <c r="U103" s="6">
        <v>45025</v>
      </c>
      <c r="V103" s="8">
        <v>3587246</v>
      </c>
      <c r="W103" s="8">
        <v>2629588</v>
      </c>
      <c r="X103" s="8">
        <v>171660</v>
      </c>
      <c r="Y103" s="5">
        <f t="shared" si="22"/>
        <v>6388494</v>
      </c>
      <c r="Z103" s="5"/>
      <c r="AA103" s="8">
        <v>0</v>
      </c>
      <c r="AB103" s="5">
        <f t="shared" si="23"/>
        <v>6388494</v>
      </c>
      <c r="AD103" s="6">
        <v>45390</v>
      </c>
      <c r="AE103" s="8">
        <v>9564176</v>
      </c>
      <c r="AF103" s="8">
        <v>2810490</v>
      </c>
      <c r="AG103" s="8">
        <v>412580</v>
      </c>
      <c r="AH103" s="5">
        <f t="shared" si="16"/>
        <v>12787246</v>
      </c>
      <c r="AI103" s="5">
        <v>3272320</v>
      </c>
      <c r="AJ103" s="8">
        <v>28000</v>
      </c>
      <c r="AK103" s="5">
        <f t="shared" si="26"/>
        <v>16087566</v>
      </c>
      <c r="AM103" s="6">
        <v>45756</v>
      </c>
      <c r="AN103" s="8">
        <v>7987056</v>
      </c>
      <c r="AO103" s="8">
        <v>2526830</v>
      </c>
      <c r="AP103" s="8">
        <v>416400</v>
      </c>
      <c r="AQ103" s="5">
        <f t="shared" si="30"/>
        <v>10930286</v>
      </c>
      <c r="AR103" s="5">
        <v>1077520</v>
      </c>
      <c r="AS103" s="5"/>
      <c r="AT103" s="8">
        <f t="shared" si="24"/>
        <v>1077520</v>
      </c>
      <c r="AU103" s="5"/>
      <c r="AV103" s="5">
        <f t="shared" si="28"/>
        <v>12007806</v>
      </c>
      <c r="AX103" s="6">
        <v>46122</v>
      </c>
      <c r="AY103" s="8">
        <v>7988480</v>
      </c>
      <c r="AZ103" s="8">
        <v>752950</v>
      </c>
      <c r="BA103" s="8">
        <v>82680</v>
      </c>
      <c r="BB103" s="5">
        <f t="shared" si="29"/>
        <v>8824110</v>
      </c>
      <c r="BC103" s="5">
        <v>1223300</v>
      </c>
      <c r="BD103" s="5">
        <v>344900</v>
      </c>
      <c r="BE103" s="8">
        <f t="shared" si="25"/>
        <v>1568200</v>
      </c>
      <c r="BF103" s="5">
        <v>379990</v>
      </c>
      <c r="BG103" s="5">
        <f t="shared" si="21"/>
        <v>10772300</v>
      </c>
    </row>
    <row r="104" spans="1:59">
      <c r="A104" s="6">
        <v>43934</v>
      </c>
      <c r="B104" s="8">
        <v>1165945</v>
      </c>
      <c r="C104" s="8">
        <v>800780</v>
      </c>
      <c r="D104" s="7">
        <f t="shared" si="17"/>
        <v>1966725</v>
      </c>
      <c r="F104" s="6">
        <v>44298</v>
      </c>
      <c r="G104" s="5">
        <v>6959809</v>
      </c>
      <c r="H104" s="5">
        <v>2329540</v>
      </c>
      <c r="I104" s="8">
        <v>395800</v>
      </c>
      <c r="K104" s="7">
        <f t="shared" si="18"/>
        <v>9685149</v>
      </c>
      <c r="M104" s="6">
        <v>44662</v>
      </c>
      <c r="N104" s="5">
        <v>6242301</v>
      </c>
      <c r="O104" s="5">
        <v>2509770</v>
      </c>
      <c r="P104" s="5">
        <v>593790</v>
      </c>
      <c r="Q104" s="5">
        <f t="shared" si="19"/>
        <v>9345861</v>
      </c>
      <c r="R104" s="5">
        <v>93300</v>
      </c>
      <c r="S104" s="5">
        <f t="shared" si="20"/>
        <v>9439161</v>
      </c>
      <c r="U104" s="6">
        <v>45026</v>
      </c>
      <c r="V104" s="8">
        <v>5806723</v>
      </c>
      <c r="W104" s="8">
        <v>2883460</v>
      </c>
      <c r="X104" s="8">
        <v>523160</v>
      </c>
      <c r="Y104" s="5">
        <f t="shared" si="22"/>
        <v>9213343</v>
      </c>
      <c r="Z104" s="5"/>
      <c r="AA104" s="8">
        <v>43210</v>
      </c>
      <c r="AB104" s="5">
        <f t="shared" si="23"/>
        <v>9256553</v>
      </c>
      <c r="AD104" s="6">
        <v>45391</v>
      </c>
      <c r="AE104" s="8">
        <v>15777005</v>
      </c>
      <c r="AF104" s="8">
        <v>3045790</v>
      </c>
      <c r="AG104" s="8">
        <v>81420</v>
      </c>
      <c r="AH104" s="5">
        <f t="shared" si="16"/>
        <v>18904215</v>
      </c>
      <c r="AI104" s="5">
        <v>1942360</v>
      </c>
      <c r="AJ104" s="8">
        <v>0</v>
      </c>
      <c r="AK104" s="5">
        <f t="shared" si="26"/>
        <v>20846575</v>
      </c>
      <c r="AM104" s="6">
        <v>45757</v>
      </c>
      <c r="AN104" s="8">
        <v>8024018</v>
      </c>
      <c r="AO104" s="8">
        <v>1979810</v>
      </c>
      <c r="AP104" s="8">
        <v>275730</v>
      </c>
      <c r="AQ104" s="5">
        <f t="shared" si="30"/>
        <v>10279558</v>
      </c>
      <c r="AR104" s="5">
        <v>1225560</v>
      </c>
      <c r="AS104" s="5"/>
      <c r="AT104" s="8">
        <f t="shared" si="24"/>
        <v>1225560</v>
      </c>
      <c r="AU104" s="5"/>
      <c r="AV104" s="5">
        <f t="shared" si="28"/>
        <v>11505118</v>
      </c>
      <c r="AX104" s="6">
        <v>46123</v>
      </c>
      <c r="AY104" s="8">
        <v>3074090</v>
      </c>
      <c r="AZ104" s="8">
        <v>439760</v>
      </c>
      <c r="BA104" s="8">
        <v>106220</v>
      </c>
      <c r="BB104" s="5">
        <f t="shared" si="29"/>
        <v>3620070</v>
      </c>
      <c r="BC104" s="5">
        <v>1236070</v>
      </c>
      <c r="BD104" s="5">
        <v>339300</v>
      </c>
      <c r="BE104" s="8">
        <f t="shared" si="25"/>
        <v>1575370</v>
      </c>
      <c r="BF104" s="5">
        <v>149490</v>
      </c>
      <c r="BG104" s="5">
        <f t="shared" si="21"/>
        <v>5344930</v>
      </c>
    </row>
    <row r="105" spans="1:59">
      <c r="A105" s="6">
        <v>43935</v>
      </c>
      <c r="B105" s="8">
        <v>9707772</v>
      </c>
      <c r="C105" s="8">
        <v>6659130</v>
      </c>
      <c r="D105" s="7">
        <f t="shared" si="17"/>
        <v>16366902</v>
      </c>
      <c r="F105" s="6">
        <v>44299</v>
      </c>
      <c r="G105" s="5">
        <v>9460502</v>
      </c>
      <c r="H105" s="5">
        <v>2371910</v>
      </c>
      <c r="I105" s="8">
        <v>446370</v>
      </c>
      <c r="K105" s="7">
        <f t="shared" si="18"/>
        <v>12278782</v>
      </c>
      <c r="M105" s="6">
        <v>44663</v>
      </c>
      <c r="N105" s="5">
        <v>6371856</v>
      </c>
      <c r="O105" s="5">
        <v>2760670</v>
      </c>
      <c r="P105" s="5">
        <v>423830</v>
      </c>
      <c r="Q105" s="5">
        <f t="shared" si="19"/>
        <v>9556356</v>
      </c>
      <c r="R105" s="5">
        <v>142754</v>
      </c>
      <c r="S105" s="5">
        <f t="shared" si="20"/>
        <v>9699110</v>
      </c>
      <c r="U105" s="6">
        <v>45027</v>
      </c>
      <c r="V105" s="8">
        <v>6646265</v>
      </c>
      <c r="W105" s="8">
        <v>3191900</v>
      </c>
      <c r="X105" s="8">
        <v>397250</v>
      </c>
      <c r="Y105" s="5">
        <f t="shared" si="22"/>
        <v>10235415</v>
      </c>
      <c r="Z105" s="5"/>
      <c r="AA105" s="8">
        <v>59600</v>
      </c>
      <c r="AB105" s="5">
        <f t="shared" si="23"/>
        <v>10295015</v>
      </c>
      <c r="AD105" s="6">
        <v>45392</v>
      </c>
      <c r="AE105" s="8">
        <v>483120</v>
      </c>
      <c r="AF105" s="8">
        <v>498140</v>
      </c>
      <c r="AG105" s="8">
        <v>304090</v>
      </c>
      <c r="AH105" s="5">
        <f t="shared" si="16"/>
        <v>1285350</v>
      </c>
      <c r="AI105" s="5">
        <v>2130240</v>
      </c>
      <c r="AJ105" s="8">
        <v>0</v>
      </c>
      <c r="AK105" s="5">
        <f t="shared" si="26"/>
        <v>3415590</v>
      </c>
      <c r="AM105" s="6">
        <v>45758</v>
      </c>
      <c r="AN105" s="8">
        <v>5170728</v>
      </c>
      <c r="AO105" s="8">
        <v>1228440</v>
      </c>
      <c r="AP105" s="8">
        <v>588990</v>
      </c>
      <c r="AQ105" s="5">
        <f t="shared" si="30"/>
        <v>6988158</v>
      </c>
      <c r="AR105" s="5">
        <v>782590</v>
      </c>
      <c r="AS105" s="5"/>
      <c r="AT105" s="8">
        <f t="shared" si="24"/>
        <v>782590</v>
      </c>
      <c r="AU105" s="5"/>
      <c r="AV105" s="5">
        <f t="shared" si="28"/>
        <v>7770748</v>
      </c>
      <c r="AX105" s="6">
        <v>46124</v>
      </c>
      <c r="AY105" s="8">
        <v>3858140</v>
      </c>
      <c r="AZ105" s="8">
        <v>426040</v>
      </c>
      <c r="BA105" s="8">
        <v>90460</v>
      </c>
      <c r="BB105" s="5">
        <f t="shared" si="29"/>
        <v>4374640</v>
      </c>
      <c r="BC105" s="5">
        <v>784890</v>
      </c>
      <c r="BD105" s="5">
        <v>485900</v>
      </c>
      <c r="BE105" s="8">
        <f t="shared" si="25"/>
        <v>1270790</v>
      </c>
      <c r="BF105" s="5">
        <v>126240</v>
      </c>
      <c r="BG105" s="5">
        <f t="shared" si="21"/>
        <v>5771670</v>
      </c>
    </row>
    <row r="106" spans="1:59">
      <c r="A106" s="6">
        <v>43936</v>
      </c>
      <c r="D106" s="7">
        <f t="shared" si="17"/>
        <v>0</v>
      </c>
      <c r="F106" s="6">
        <v>44300</v>
      </c>
      <c r="G106" s="5">
        <v>10503730</v>
      </c>
      <c r="H106" s="5">
        <v>1848570</v>
      </c>
      <c r="I106" s="8">
        <v>454210</v>
      </c>
      <c r="K106" s="7">
        <f t="shared" si="18"/>
        <v>12806510</v>
      </c>
      <c r="M106" s="6">
        <v>44664</v>
      </c>
      <c r="N106" s="5">
        <v>7531185</v>
      </c>
      <c r="O106" s="5">
        <v>4041880</v>
      </c>
      <c r="P106" s="5">
        <v>538380</v>
      </c>
      <c r="Q106" s="5">
        <f t="shared" si="19"/>
        <v>12111445</v>
      </c>
      <c r="R106" s="5">
        <v>234454</v>
      </c>
      <c r="S106" s="5">
        <f t="shared" si="20"/>
        <v>12345899</v>
      </c>
      <c r="U106" s="6">
        <v>45028</v>
      </c>
      <c r="V106" s="8">
        <v>7171047</v>
      </c>
      <c r="W106" s="8">
        <v>2562230</v>
      </c>
      <c r="X106" s="8">
        <v>711330</v>
      </c>
      <c r="Y106" s="5">
        <f t="shared" si="22"/>
        <v>10444607</v>
      </c>
      <c r="Z106" s="5"/>
      <c r="AA106" s="8">
        <v>0</v>
      </c>
      <c r="AB106" s="5">
        <f t="shared" si="23"/>
        <v>10444607</v>
      </c>
      <c r="AD106" s="6">
        <v>45393</v>
      </c>
      <c r="AE106" s="8">
        <v>12072328</v>
      </c>
      <c r="AF106" s="8">
        <v>3375820</v>
      </c>
      <c r="AG106" s="8">
        <v>201560</v>
      </c>
      <c r="AH106" s="5">
        <f t="shared" si="16"/>
        <v>15649708</v>
      </c>
      <c r="AI106" s="5">
        <v>2166980</v>
      </c>
      <c r="AJ106" s="8">
        <v>0</v>
      </c>
      <c r="AK106" s="5">
        <f t="shared" si="26"/>
        <v>17816688</v>
      </c>
      <c r="AM106" s="6">
        <v>45759</v>
      </c>
      <c r="AN106" s="8">
        <v>3622975</v>
      </c>
      <c r="AO106" s="8">
        <v>1058800</v>
      </c>
      <c r="AP106" s="8">
        <v>377980</v>
      </c>
      <c r="AQ106" s="5">
        <f t="shared" si="30"/>
        <v>5059755</v>
      </c>
      <c r="AR106" s="5">
        <v>900040</v>
      </c>
      <c r="AS106" s="5"/>
      <c r="AT106" s="8">
        <f t="shared" si="24"/>
        <v>900040</v>
      </c>
      <c r="AU106" s="5"/>
      <c r="AV106" s="5">
        <f t="shared" si="28"/>
        <v>5959795</v>
      </c>
      <c r="AX106" s="6">
        <v>46125</v>
      </c>
      <c r="AY106" s="8">
        <v>5194280</v>
      </c>
      <c r="AZ106" s="8">
        <v>666550</v>
      </c>
      <c r="BA106" s="8">
        <v>364030</v>
      </c>
      <c r="BB106" s="5">
        <f t="shared" si="29"/>
        <v>6224860</v>
      </c>
      <c r="BC106" s="5">
        <v>5320430</v>
      </c>
      <c r="BD106" s="5">
        <v>217300</v>
      </c>
      <c r="BE106" s="8">
        <f t="shared" si="25"/>
        <v>5537730</v>
      </c>
      <c r="BF106" s="5">
        <v>461880</v>
      </c>
      <c r="BG106" s="5">
        <f t="shared" si="21"/>
        <v>12224470</v>
      </c>
    </row>
    <row r="107" spans="1:59">
      <c r="A107" s="6">
        <v>43937</v>
      </c>
      <c r="B107" s="8">
        <v>10271657</v>
      </c>
      <c r="C107" s="8">
        <v>6478495</v>
      </c>
      <c r="D107" s="7">
        <f t="shared" si="17"/>
        <v>16750152</v>
      </c>
      <c r="F107" s="6">
        <v>44301</v>
      </c>
      <c r="G107" s="5">
        <v>9477073</v>
      </c>
      <c r="H107" s="5">
        <v>2478850</v>
      </c>
      <c r="I107" s="8">
        <v>570580</v>
      </c>
      <c r="K107" s="7">
        <f t="shared" si="18"/>
        <v>12526503</v>
      </c>
      <c r="M107" s="6">
        <v>44665</v>
      </c>
      <c r="N107" s="5">
        <v>7428099</v>
      </c>
      <c r="O107" s="5">
        <v>3742370</v>
      </c>
      <c r="P107" s="5">
        <v>417230</v>
      </c>
      <c r="Q107" s="5">
        <f t="shared" si="19"/>
        <v>11587699</v>
      </c>
      <c r="R107" s="5">
        <v>167700</v>
      </c>
      <c r="S107" s="5">
        <f t="shared" si="20"/>
        <v>11755399</v>
      </c>
      <c r="U107" s="6">
        <v>45029</v>
      </c>
      <c r="V107" s="8">
        <v>10057514</v>
      </c>
      <c r="W107" s="8">
        <v>3469220</v>
      </c>
      <c r="X107" s="8">
        <v>534920</v>
      </c>
      <c r="Y107" s="5">
        <f t="shared" si="22"/>
        <v>14061654</v>
      </c>
      <c r="Z107" s="5"/>
      <c r="AA107" s="8">
        <v>200220</v>
      </c>
      <c r="AB107" s="5">
        <f t="shared" si="23"/>
        <v>14261874</v>
      </c>
      <c r="AD107" s="6">
        <v>45394</v>
      </c>
      <c r="AE107" s="8">
        <v>10041512</v>
      </c>
      <c r="AF107" s="8">
        <v>2291190</v>
      </c>
      <c r="AG107" s="8">
        <v>195460</v>
      </c>
      <c r="AH107" s="5">
        <f t="shared" si="16"/>
        <v>12528162</v>
      </c>
      <c r="AI107" s="5">
        <v>1604800</v>
      </c>
      <c r="AJ107" s="8">
        <v>0</v>
      </c>
      <c r="AK107" s="5">
        <f t="shared" si="26"/>
        <v>14132962</v>
      </c>
      <c r="AM107" s="6">
        <v>45760</v>
      </c>
      <c r="AN107" s="8">
        <v>4676559</v>
      </c>
      <c r="AO107" s="8">
        <v>1967240</v>
      </c>
      <c r="AP107" s="8">
        <v>240980</v>
      </c>
      <c r="AQ107" s="5">
        <f t="shared" si="30"/>
        <v>6884779</v>
      </c>
      <c r="AR107" s="5">
        <v>1857200</v>
      </c>
      <c r="AS107" s="5"/>
      <c r="AT107" s="8">
        <f t="shared" si="24"/>
        <v>1857200</v>
      </c>
      <c r="AU107" s="5"/>
      <c r="AV107" s="5">
        <f t="shared" si="28"/>
        <v>8741979</v>
      </c>
      <c r="AX107" s="6">
        <v>46126</v>
      </c>
      <c r="AY107" s="8">
        <v>6084230</v>
      </c>
      <c r="AZ107" s="8">
        <v>898350</v>
      </c>
      <c r="BA107" s="8">
        <v>164650</v>
      </c>
      <c r="BB107" s="5">
        <f t="shared" si="29"/>
        <v>7147230</v>
      </c>
      <c r="BC107" s="5">
        <v>2750020</v>
      </c>
      <c r="BD107" s="5">
        <v>271200</v>
      </c>
      <c r="BE107" s="8">
        <f t="shared" si="25"/>
        <v>3021220</v>
      </c>
      <c r="BF107" s="5">
        <v>418280</v>
      </c>
      <c r="BG107" s="5">
        <f t="shared" si="21"/>
        <v>10586730</v>
      </c>
    </row>
    <row r="108" spans="1:59">
      <c r="A108" s="6">
        <v>43938</v>
      </c>
      <c r="B108" s="8">
        <v>8686082</v>
      </c>
      <c r="C108" s="8">
        <v>6016971</v>
      </c>
      <c r="D108" s="7">
        <f t="shared" si="17"/>
        <v>14703053</v>
      </c>
      <c r="F108" s="6">
        <v>44302</v>
      </c>
      <c r="G108" s="5">
        <v>4720185</v>
      </c>
      <c r="H108" s="5">
        <v>2479890</v>
      </c>
      <c r="I108" s="8">
        <v>703340</v>
      </c>
      <c r="K108" s="7">
        <f t="shared" si="18"/>
        <v>7903415</v>
      </c>
      <c r="M108" s="6">
        <v>44666</v>
      </c>
      <c r="N108" s="5">
        <v>8371702</v>
      </c>
      <c r="O108" s="5">
        <v>2393600</v>
      </c>
      <c r="P108" s="5">
        <v>403920</v>
      </c>
      <c r="Q108" s="5">
        <f t="shared" si="19"/>
        <v>11169222</v>
      </c>
      <c r="R108" s="5">
        <v>320980</v>
      </c>
      <c r="S108" s="5">
        <f t="shared" si="20"/>
        <v>11490202</v>
      </c>
      <c r="U108" s="6">
        <v>45030</v>
      </c>
      <c r="V108" s="8">
        <v>10385625</v>
      </c>
      <c r="W108" s="8">
        <v>4323190</v>
      </c>
      <c r="X108" s="8">
        <v>560070</v>
      </c>
      <c r="Y108" s="5">
        <f t="shared" si="22"/>
        <v>15268885</v>
      </c>
      <c r="Z108" s="5"/>
      <c r="AA108" s="8">
        <v>11900</v>
      </c>
      <c r="AB108" s="5">
        <f t="shared" si="23"/>
        <v>15280785</v>
      </c>
      <c r="AD108" s="6">
        <v>45395</v>
      </c>
      <c r="AE108" s="8">
        <v>4542959</v>
      </c>
      <c r="AF108" s="8">
        <v>1552880</v>
      </c>
      <c r="AG108" s="8">
        <v>168950</v>
      </c>
      <c r="AH108" s="5">
        <f t="shared" si="16"/>
        <v>6264789</v>
      </c>
      <c r="AI108" s="5">
        <v>1172420</v>
      </c>
      <c r="AJ108" s="8">
        <v>0</v>
      </c>
      <c r="AK108" s="5">
        <f t="shared" si="26"/>
        <v>7437209</v>
      </c>
      <c r="AM108" s="6">
        <v>45761</v>
      </c>
      <c r="AN108" s="8">
        <v>6394293</v>
      </c>
      <c r="AO108" s="8">
        <v>2525390</v>
      </c>
      <c r="AP108" s="8">
        <v>633960</v>
      </c>
      <c r="AQ108" s="5">
        <f t="shared" si="30"/>
        <v>9553643</v>
      </c>
      <c r="AR108" s="5">
        <v>788790</v>
      </c>
      <c r="AS108" s="5"/>
      <c r="AT108" s="8">
        <f t="shared" si="24"/>
        <v>788790</v>
      </c>
      <c r="AU108" s="5"/>
      <c r="AV108" s="5">
        <f t="shared" si="28"/>
        <v>10342433</v>
      </c>
      <c r="AX108" s="6">
        <v>46127</v>
      </c>
      <c r="AY108" s="8">
        <v>6877200</v>
      </c>
      <c r="AZ108" s="8">
        <v>1095310</v>
      </c>
      <c r="BA108" s="8">
        <v>164650</v>
      </c>
      <c r="BB108" s="5">
        <f t="shared" si="29"/>
        <v>8137160</v>
      </c>
      <c r="BC108" s="5">
        <v>2425740</v>
      </c>
      <c r="BD108" s="5">
        <v>518400</v>
      </c>
      <c r="BE108" s="8">
        <f t="shared" si="25"/>
        <v>2944140</v>
      </c>
      <c r="BF108" s="5">
        <v>132700</v>
      </c>
      <c r="BG108" s="5">
        <f t="shared" si="21"/>
        <v>11214000</v>
      </c>
    </row>
    <row r="109" spans="1:59">
      <c r="A109" s="6">
        <v>43939</v>
      </c>
      <c r="B109" s="8">
        <v>905537</v>
      </c>
      <c r="C109" s="8">
        <v>1074980</v>
      </c>
      <c r="D109" s="7">
        <f t="shared" si="17"/>
        <v>1980517</v>
      </c>
      <c r="F109" s="6">
        <v>44303</v>
      </c>
      <c r="G109" s="5">
        <v>3158537</v>
      </c>
      <c r="H109" s="5">
        <v>1135100</v>
      </c>
      <c r="I109" s="8">
        <v>278130</v>
      </c>
      <c r="K109" s="7">
        <f t="shared" si="18"/>
        <v>4571767</v>
      </c>
      <c r="M109" s="6">
        <v>44667</v>
      </c>
      <c r="N109" s="5">
        <v>2617350</v>
      </c>
      <c r="O109" s="5">
        <v>1083845</v>
      </c>
      <c r="P109" s="5">
        <v>83830</v>
      </c>
      <c r="Q109" s="5">
        <f t="shared" si="19"/>
        <v>3785025</v>
      </c>
      <c r="R109" s="5">
        <v>151120</v>
      </c>
      <c r="S109" s="5">
        <f t="shared" si="20"/>
        <v>3936145</v>
      </c>
      <c r="U109" s="6">
        <v>45031</v>
      </c>
      <c r="V109" s="8">
        <v>1038562</v>
      </c>
      <c r="W109" s="8">
        <v>741510</v>
      </c>
      <c r="X109" s="8">
        <v>68330</v>
      </c>
      <c r="Y109" s="5">
        <f t="shared" si="22"/>
        <v>1848402</v>
      </c>
      <c r="Z109" s="5"/>
      <c r="AA109" s="8">
        <v>0</v>
      </c>
      <c r="AB109" s="5">
        <f t="shared" si="23"/>
        <v>1848402</v>
      </c>
      <c r="AD109" s="6">
        <v>45396</v>
      </c>
      <c r="AE109" s="8">
        <v>3084771</v>
      </c>
      <c r="AF109" s="8">
        <v>1479550</v>
      </c>
      <c r="AG109" s="8">
        <v>117010</v>
      </c>
      <c r="AH109" s="5">
        <f t="shared" si="16"/>
        <v>4681331</v>
      </c>
      <c r="AI109" s="5">
        <v>3145740</v>
      </c>
      <c r="AJ109" s="8">
        <v>0</v>
      </c>
      <c r="AK109" s="5">
        <f t="shared" si="26"/>
        <v>7827071</v>
      </c>
      <c r="AM109" s="6">
        <v>45762</v>
      </c>
      <c r="AN109" s="8">
        <v>13789498</v>
      </c>
      <c r="AO109" s="8">
        <v>1914660</v>
      </c>
      <c r="AP109" s="8">
        <v>469490</v>
      </c>
      <c r="AQ109" s="5">
        <f t="shared" si="30"/>
        <v>16173648</v>
      </c>
      <c r="AR109" s="5">
        <v>1273460</v>
      </c>
      <c r="AS109" s="5"/>
      <c r="AT109" s="8">
        <f t="shared" si="24"/>
        <v>1273460</v>
      </c>
      <c r="AU109" s="5"/>
      <c r="AV109" s="5">
        <f t="shared" si="28"/>
        <v>17447108</v>
      </c>
      <c r="AX109" s="6">
        <v>46128</v>
      </c>
      <c r="AY109" s="8">
        <v>14438560</v>
      </c>
      <c r="AZ109" s="8">
        <v>1830530</v>
      </c>
      <c r="BA109" s="8">
        <v>77960</v>
      </c>
      <c r="BB109" s="5">
        <f t="shared" si="29"/>
        <v>16347050</v>
      </c>
      <c r="BC109" s="5">
        <v>3041568</v>
      </c>
      <c r="BD109" s="5">
        <v>307000</v>
      </c>
      <c r="BE109" s="8">
        <f t="shared" si="25"/>
        <v>3348568</v>
      </c>
      <c r="BF109" s="5">
        <v>78500</v>
      </c>
      <c r="BG109" s="5">
        <f t="shared" si="21"/>
        <v>19774118</v>
      </c>
    </row>
    <row r="110" spans="1:59">
      <c r="A110" s="6">
        <v>43940</v>
      </c>
      <c r="B110" s="8">
        <v>5631862</v>
      </c>
      <c r="C110" s="8">
        <v>5172850</v>
      </c>
      <c r="D110" s="7">
        <f t="shared" si="17"/>
        <v>10804712</v>
      </c>
      <c r="F110" s="6">
        <v>44304</v>
      </c>
      <c r="G110" s="5">
        <v>5520167</v>
      </c>
      <c r="H110" s="5">
        <v>2348500</v>
      </c>
      <c r="I110" s="8">
        <v>715340</v>
      </c>
      <c r="K110" s="7">
        <f t="shared" si="18"/>
        <v>8584007</v>
      </c>
      <c r="M110" s="6">
        <v>44668</v>
      </c>
      <c r="N110" s="5">
        <v>2093532</v>
      </c>
      <c r="O110" s="5">
        <v>946210</v>
      </c>
      <c r="P110" s="5">
        <v>306440</v>
      </c>
      <c r="Q110" s="5">
        <f t="shared" si="19"/>
        <v>3346182</v>
      </c>
      <c r="R110" s="5">
        <v>147300</v>
      </c>
      <c r="S110" s="5">
        <f t="shared" si="20"/>
        <v>3493482</v>
      </c>
      <c r="U110" s="6">
        <v>45032</v>
      </c>
      <c r="V110" s="8">
        <v>1177498</v>
      </c>
      <c r="W110" s="8">
        <v>1148780</v>
      </c>
      <c r="X110" s="8">
        <v>447580</v>
      </c>
      <c r="Y110" s="5">
        <f t="shared" si="22"/>
        <v>2773858</v>
      </c>
      <c r="Z110" s="5"/>
      <c r="AA110" s="8">
        <v>14900</v>
      </c>
      <c r="AB110" s="5">
        <f t="shared" si="23"/>
        <v>2788758</v>
      </c>
      <c r="AD110" s="6">
        <v>45397</v>
      </c>
      <c r="AE110" s="8">
        <v>13150918</v>
      </c>
      <c r="AF110" s="8">
        <v>2807310</v>
      </c>
      <c r="AG110" s="8">
        <v>276840</v>
      </c>
      <c r="AH110" s="5">
        <f t="shared" si="16"/>
        <v>16235068</v>
      </c>
      <c r="AI110" s="5">
        <v>3473180</v>
      </c>
      <c r="AJ110" s="8">
        <v>11500</v>
      </c>
      <c r="AK110" s="5">
        <f t="shared" si="26"/>
        <v>19719748</v>
      </c>
      <c r="AM110" s="6">
        <v>45763</v>
      </c>
      <c r="AN110" s="8">
        <v>12901948</v>
      </c>
      <c r="AO110" s="8">
        <v>2455610</v>
      </c>
      <c r="AP110" s="8">
        <v>408800</v>
      </c>
      <c r="AQ110" s="5">
        <f t="shared" si="30"/>
        <v>15766358</v>
      </c>
      <c r="AR110" s="5">
        <v>3483630</v>
      </c>
      <c r="AS110" s="5"/>
      <c r="AT110" s="8">
        <f t="shared" si="24"/>
        <v>3483630</v>
      </c>
      <c r="AU110" s="5"/>
      <c r="AV110" s="5">
        <f t="shared" si="28"/>
        <v>19249988</v>
      </c>
      <c r="AX110" s="6">
        <v>46129</v>
      </c>
      <c r="AY110" s="8">
        <v>5571840</v>
      </c>
      <c r="AZ110" s="8">
        <v>532540</v>
      </c>
      <c r="BA110" s="8">
        <v>140580</v>
      </c>
      <c r="BB110" s="5">
        <f t="shared" si="29"/>
        <v>6244960</v>
      </c>
      <c r="BC110" s="5">
        <v>1754360</v>
      </c>
      <c r="BD110" s="5">
        <v>159900</v>
      </c>
      <c r="BE110" s="8">
        <f t="shared" si="25"/>
        <v>1914260</v>
      </c>
      <c r="BF110" s="5">
        <v>37500</v>
      </c>
      <c r="BG110" s="5">
        <f t="shared" si="21"/>
        <v>8196720</v>
      </c>
    </row>
    <row r="111" spans="1:59">
      <c r="A111" s="6">
        <v>43941</v>
      </c>
      <c r="B111" s="8">
        <v>4173995</v>
      </c>
      <c r="C111" s="8">
        <v>2107880</v>
      </c>
      <c r="D111" s="7">
        <f t="shared" si="17"/>
        <v>6281875</v>
      </c>
      <c r="F111" s="6">
        <v>44305</v>
      </c>
      <c r="G111" s="5">
        <v>7242639</v>
      </c>
      <c r="H111" s="5">
        <v>3146917</v>
      </c>
      <c r="I111" s="8">
        <v>1019860</v>
      </c>
      <c r="K111" s="7">
        <f t="shared" si="18"/>
        <v>11409416</v>
      </c>
      <c r="M111" s="6">
        <v>44669</v>
      </c>
      <c r="N111" s="5">
        <v>6055755</v>
      </c>
      <c r="O111" s="5">
        <v>3147210</v>
      </c>
      <c r="P111" s="5">
        <v>499990</v>
      </c>
      <c r="Q111" s="5">
        <f t="shared" si="19"/>
        <v>9702955</v>
      </c>
      <c r="R111" s="5">
        <v>222450</v>
      </c>
      <c r="S111" s="5">
        <f t="shared" si="20"/>
        <v>9925405</v>
      </c>
      <c r="U111" s="6">
        <v>45033</v>
      </c>
      <c r="V111" s="8">
        <v>13628750</v>
      </c>
      <c r="W111" s="8">
        <v>5024590</v>
      </c>
      <c r="X111" s="8">
        <v>370570</v>
      </c>
      <c r="Y111" s="5">
        <f t="shared" si="22"/>
        <v>19023910</v>
      </c>
      <c r="Z111" s="5"/>
      <c r="AA111" s="8">
        <v>29800</v>
      </c>
      <c r="AB111" s="5">
        <f t="shared" si="23"/>
        <v>19053710</v>
      </c>
      <c r="AD111" s="6">
        <v>45398</v>
      </c>
      <c r="AE111" s="8">
        <v>7016348</v>
      </c>
      <c r="AF111" s="8">
        <v>3576290</v>
      </c>
      <c r="AG111" s="8">
        <v>179990</v>
      </c>
      <c r="AH111" s="5">
        <f t="shared" si="16"/>
        <v>10772628</v>
      </c>
      <c r="AI111" s="5">
        <v>3408180</v>
      </c>
      <c r="AJ111" s="8">
        <v>28000</v>
      </c>
      <c r="AK111" s="5">
        <f t="shared" si="26"/>
        <v>14208808</v>
      </c>
      <c r="AM111" s="6">
        <v>45764</v>
      </c>
      <c r="AN111" s="8">
        <v>11098199</v>
      </c>
      <c r="AO111" s="8">
        <v>3350060</v>
      </c>
      <c r="AP111" s="8">
        <v>291320</v>
      </c>
      <c r="AQ111" s="5">
        <f t="shared" si="30"/>
        <v>14739579</v>
      </c>
      <c r="AR111" s="5">
        <v>3209750</v>
      </c>
      <c r="AS111" s="5"/>
      <c r="AT111" s="8">
        <f t="shared" si="24"/>
        <v>3209750</v>
      </c>
      <c r="AU111" s="5"/>
      <c r="AV111" s="5">
        <f t="shared" si="28"/>
        <v>17949329</v>
      </c>
      <c r="AX111" s="6">
        <v>46130</v>
      </c>
      <c r="AY111" s="8">
        <v>3615530</v>
      </c>
      <c r="AZ111" s="8">
        <v>631780</v>
      </c>
      <c r="BA111" s="8">
        <v>152150</v>
      </c>
      <c r="BB111" s="5">
        <f t="shared" si="29"/>
        <v>4399460</v>
      </c>
      <c r="BC111" s="5">
        <v>902430</v>
      </c>
      <c r="BD111" s="5">
        <v>258200</v>
      </c>
      <c r="BE111" s="8">
        <f t="shared" si="25"/>
        <v>1160630</v>
      </c>
      <c r="BF111" s="8">
        <v>0</v>
      </c>
      <c r="BG111" s="5">
        <f t="shared" si="21"/>
        <v>5560090</v>
      </c>
    </row>
    <row r="112" spans="1:59">
      <c r="A112" s="6">
        <v>43942</v>
      </c>
      <c r="B112" s="8">
        <v>12817138</v>
      </c>
      <c r="C112" s="8">
        <v>5847460</v>
      </c>
      <c r="D112" s="7">
        <f t="shared" si="17"/>
        <v>18664598</v>
      </c>
      <c r="F112" s="6">
        <v>44306</v>
      </c>
      <c r="G112" s="5">
        <v>9799140</v>
      </c>
      <c r="H112" s="5">
        <v>2555560</v>
      </c>
      <c r="I112" s="8">
        <v>547820</v>
      </c>
      <c r="K112" s="7">
        <f t="shared" si="18"/>
        <v>12902520</v>
      </c>
      <c r="M112" s="6">
        <v>44670</v>
      </c>
      <c r="N112" s="5">
        <v>8096873</v>
      </c>
      <c r="O112" s="5">
        <v>4742090</v>
      </c>
      <c r="P112" s="5">
        <v>230290</v>
      </c>
      <c r="Q112" s="5">
        <f t="shared" si="19"/>
        <v>13069253</v>
      </c>
      <c r="R112" s="5">
        <v>325090</v>
      </c>
      <c r="S112" s="5">
        <f t="shared" si="20"/>
        <v>13394343</v>
      </c>
      <c r="U112" s="6">
        <v>45034</v>
      </c>
      <c r="V112" s="8">
        <v>7287286</v>
      </c>
      <c r="W112" s="8">
        <v>3531510</v>
      </c>
      <c r="X112" s="8">
        <v>558800</v>
      </c>
      <c r="Y112" s="5">
        <f t="shared" si="22"/>
        <v>11377596</v>
      </c>
      <c r="Z112" s="5"/>
      <c r="AA112" s="8">
        <v>97930</v>
      </c>
      <c r="AB112" s="5">
        <f t="shared" si="23"/>
        <v>11475526</v>
      </c>
      <c r="AD112" s="6">
        <v>45399</v>
      </c>
      <c r="AE112" s="8">
        <v>11695224</v>
      </c>
      <c r="AF112" s="8">
        <v>2620960</v>
      </c>
      <c r="AG112" s="8">
        <v>1400070</v>
      </c>
      <c r="AH112" s="5">
        <f t="shared" si="16"/>
        <v>15716254</v>
      </c>
      <c r="AI112" s="5">
        <v>2799036</v>
      </c>
      <c r="AJ112" s="8">
        <v>0</v>
      </c>
      <c r="AK112" s="5">
        <f t="shared" si="26"/>
        <v>18515290</v>
      </c>
      <c r="AM112" s="6">
        <v>45765</v>
      </c>
      <c r="AN112" s="8">
        <v>9185130</v>
      </c>
      <c r="AO112" s="8">
        <v>2303360</v>
      </c>
      <c r="AP112" s="8">
        <v>150580</v>
      </c>
      <c r="AQ112" s="5">
        <f t="shared" si="30"/>
        <v>11639070</v>
      </c>
      <c r="AR112" s="5">
        <v>1001250</v>
      </c>
      <c r="AS112" s="5"/>
      <c r="AT112" s="8">
        <f t="shared" si="24"/>
        <v>1001250</v>
      </c>
      <c r="AU112" s="5"/>
      <c r="AV112" s="5">
        <f t="shared" si="28"/>
        <v>12640320</v>
      </c>
      <c r="AX112" s="6">
        <v>46131</v>
      </c>
      <c r="AY112" s="8">
        <v>4597580</v>
      </c>
      <c r="AZ112" s="8">
        <v>934200</v>
      </c>
      <c r="BA112" s="8">
        <v>72300</v>
      </c>
      <c r="BB112" s="5">
        <f t="shared" si="29"/>
        <v>5604080</v>
      </c>
      <c r="BC112" s="5">
        <v>1556800</v>
      </c>
      <c r="BD112" s="5">
        <v>209300</v>
      </c>
      <c r="BE112" s="8">
        <f t="shared" si="25"/>
        <v>1766100</v>
      </c>
      <c r="BF112" s="5">
        <v>141000</v>
      </c>
      <c r="BG112" s="5">
        <f t="shared" si="21"/>
        <v>7511180</v>
      </c>
    </row>
    <row r="113" spans="1:59">
      <c r="A113" s="6">
        <v>43943</v>
      </c>
      <c r="B113" s="8">
        <v>11035926</v>
      </c>
      <c r="C113" s="8">
        <v>6005420</v>
      </c>
      <c r="D113" s="7">
        <f t="shared" si="17"/>
        <v>17041346</v>
      </c>
      <c r="F113" s="6">
        <v>44307</v>
      </c>
      <c r="G113" s="5">
        <v>9516172</v>
      </c>
      <c r="H113" s="5">
        <v>1686150</v>
      </c>
      <c r="I113" s="8">
        <v>421820</v>
      </c>
      <c r="K113" s="7">
        <f t="shared" si="18"/>
        <v>11624142</v>
      </c>
      <c r="M113" s="6">
        <v>44671</v>
      </c>
      <c r="N113" s="5">
        <v>7759589</v>
      </c>
      <c r="O113" s="5">
        <v>3185005</v>
      </c>
      <c r="P113" s="5">
        <v>147890</v>
      </c>
      <c r="Q113" s="5">
        <f t="shared" si="19"/>
        <v>11092484</v>
      </c>
      <c r="R113" s="5">
        <v>302330</v>
      </c>
      <c r="S113" s="5">
        <f t="shared" si="20"/>
        <v>11394814</v>
      </c>
      <c r="U113" s="6">
        <v>45035</v>
      </c>
      <c r="V113" s="8">
        <v>10165983</v>
      </c>
      <c r="W113" s="8">
        <v>2521190</v>
      </c>
      <c r="X113" s="8">
        <v>1056610</v>
      </c>
      <c r="Y113" s="5">
        <f t="shared" si="22"/>
        <v>13743783</v>
      </c>
      <c r="Z113" s="5"/>
      <c r="AA113" s="8">
        <v>58600</v>
      </c>
      <c r="AB113" s="5">
        <f t="shared" si="23"/>
        <v>13802383</v>
      </c>
      <c r="AD113" s="6">
        <v>45400</v>
      </c>
      <c r="AE113" s="8">
        <v>9741750</v>
      </c>
      <c r="AF113" s="8">
        <v>2141630</v>
      </c>
      <c r="AG113" s="8">
        <v>613820</v>
      </c>
      <c r="AH113" s="5">
        <f t="shared" si="16"/>
        <v>12497200</v>
      </c>
      <c r="AI113" s="5">
        <v>1776140</v>
      </c>
      <c r="AJ113" s="8">
        <v>0</v>
      </c>
      <c r="AK113" s="5">
        <f t="shared" si="26"/>
        <v>14273340</v>
      </c>
      <c r="AM113" s="6">
        <v>45766</v>
      </c>
      <c r="AN113" s="8">
        <v>3757313</v>
      </c>
      <c r="AO113" s="8">
        <v>1107820</v>
      </c>
      <c r="AP113" s="8">
        <v>341300</v>
      </c>
      <c r="AQ113" s="5">
        <f t="shared" si="30"/>
        <v>5206433</v>
      </c>
      <c r="AR113" s="5">
        <v>461810</v>
      </c>
      <c r="AS113" s="5"/>
      <c r="AT113" s="8">
        <f t="shared" si="24"/>
        <v>461810</v>
      </c>
      <c r="AU113" s="5"/>
      <c r="AV113" s="5">
        <f t="shared" si="28"/>
        <v>5668243</v>
      </c>
      <c r="AX113" s="6">
        <v>46132</v>
      </c>
      <c r="AY113" s="8">
        <v>8742610</v>
      </c>
      <c r="AZ113" s="8">
        <v>1540460</v>
      </c>
      <c r="BA113" s="8">
        <v>299980</v>
      </c>
      <c r="BB113" s="5">
        <f t="shared" si="29"/>
        <v>10583050</v>
      </c>
      <c r="BC113" s="5">
        <v>1883550</v>
      </c>
      <c r="BD113" s="5">
        <v>283100</v>
      </c>
      <c r="BE113" s="8">
        <f t="shared" si="25"/>
        <v>2166650</v>
      </c>
      <c r="BF113" s="5">
        <v>309130</v>
      </c>
      <c r="BG113" s="5">
        <f t="shared" si="21"/>
        <v>13058830</v>
      </c>
    </row>
    <row r="114" spans="1:59">
      <c r="A114" s="6">
        <v>43944</v>
      </c>
      <c r="B114" s="8">
        <v>6204947</v>
      </c>
      <c r="C114" s="8">
        <v>3941780</v>
      </c>
      <c r="D114" s="7">
        <f t="shared" si="17"/>
        <v>10146727</v>
      </c>
      <c r="F114" s="6">
        <v>44308</v>
      </c>
      <c r="G114" s="5">
        <v>9678606</v>
      </c>
      <c r="H114" s="5">
        <v>2165785</v>
      </c>
      <c r="I114" s="8">
        <v>744620</v>
      </c>
      <c r="K114" s="7">
        <f t="shared" si="18"/>
        <v>12589011</v>
      </c>
      <c r="M114" s="6">
        <v>44672</v>
      </c>
      <c r="N114" s="5">
        <v>7607807</v>
      </c>
      <c r="O114" s="5">
        <v>2308010</v>
      </c>
      <c r="P114" s="5">
        <v>193450</v>
      </c>
      <c r="Q114" s="5">
        <f t="shared" si="19"/>
        <v>10109267</v>
      </c>
      <c r="R114" s="5">
        <v>260590</v>
      </c>
      <c r="S114" s="5">
        <f t="shared" si="20"/>
        <v>10369857</v>
      </c>
      <c r="U114" s="6">
        <v>45036</v>
      </c>
      <c r="V114" s="8">
        <v>10467064</v>
      </c>
      <c r="W114" s="8">
        <v>1864460</v>
      </c>
      <c r="X114" s="8">
        <v>538600</v>
      </c>
      <c r="Y114" s="5">
        <f t="shared" si="22"/>
        <v>12870124</v>
      </c>
      <c r="Z114" s="5"/>
      <c r="AA114" s="8">
        <v>56620</v>
      </c>
      <c r="AB114" s="5">
        <f t="shared" si="23"/>
        <v>12926744</v>
      </c>
      <c r="AD114" s="6">
        <v>45401</v>
      </c>
      <c r="AE114" s="8">
        <v>8220141</v>
      </c>
      <c r="AF114" s="8">
        <v>1554130</v>
      </c>
      <c r="AG114" s="8">
        <v>396790</v>
      </c>
      <c r="AH114" s="5">
        <f t="shared" si="16"/>
        <v>10171061</v>
      </c>
      <c r="AI114" s="5">
        <v>1801160</v>
      </c>
      <c r="AJ114" s="8">
        <v>11500</v>
      </c>
      <c r="AK114" s="5">
        <f t="shared" si="26"/>
        <v>11983721</v>
      </c>
      <c r="AM114" s="6">
        <v>45767</v>
      </c>
      <c r="AN114" s="8">
        <v>5528049</v>
      </c>
      <c r="AO114" s="8">
        <v>1559260</v>
      </c>
      <c r="AP114" s="8">
        <v>498000</v>
      </c>
      <c r="AQ114" s="5">
        <f t="shared" si="30"/>
        <v>7585309</v>
      </c>
      <c r="AR114" s="5">
        <v>655410</v>
      </c>
      <c r="AS114" s="5"/>
      <c r="AT114" s="8">
        <f t="shared" si="24"/>
        <v>655410</v>
      </c>
      <c r="AU114" s="5"/>
      <c r="AV114" s="5">
        <f t="shared" si="28"/>
        <v>8240719</v>
      </c>
      <c r="AX114" s="6">
        <v>46133</v>
      </c>
      <c r="AY114" s="8">
        <v>7118440</v>
      </c>
      <c r="AZ114" s="8">
        <v>1208970</v>
      </c>
      <c r="BA114" s="8">
        <v>67600</v>
      </c>
      <c r="BB114" s="5">
        <f t="shared" si="29"/>
        <v>8395010</v>
      </c>
      <c r="BC114" s="5">
        <v>2005680</v>
      </c>
      <c r="BD114" s="5">
        <v>157500</v>
      </c>
      <c r="BE114" s="8">
        <f t="shared" si="25"/>
        <v>2163180</v>
      </c>
      <c r="BF114" s="5">
        <v>180020</v>
      </c>
      <c r="BG114" s="5">
        <f t="shared" si="21"/>
        <v>10738210</v>
      </c>
    </row>
    <row r="115" spans="1:59">
      <c r="A115" s="6">
        <v>43945</v>
      </c>
      <c r="B115" s="8">
        <v>9497366</v>
      </c>
      <c r="C115" s="8">
        <v>5594535</v>
      </c>
      <c r="D115" s="7">
        <f t="shared" si="17"/>
        <v>15091901</v>
      </c>
      <c r="F115" s="6">
        <v>44309</v>
      </c>
      <c r="G115" s="5">
        <v>11552757</v>
      </c>
      <c r="H115" s="5">
        <v>1460460</v>
      </c>
      <c r="I115" s="8">
        <v>262160</v>
      </c>
      <c r="K115" s="7">
        <f t="shared" si="18"/>
        <v>13275377</v>
      </c>
      <c r="M115" s="6">
        <v>44673</v>
      </c>
      <c r="N115" s="5">
        <v>5938432</v>
      </c>
      <c r="O115" s="5">
        <v>2311010</v>
      </c>
      <c r="P115" s="5">
        <v>304460</v>
      </c>
      <c r="Q115" s="5">
        <f t="shared" si="19"/>
        <v>8553902</v>
      </c>
      <c r="R115" s="5">
        <v>33200</v>
      </c>
      <c r="S115" s="5">
        <f t="shared" si="20"/>
        <v>8587102</v>
      </c>
      <c r="U115" s="6">
        <v>45037</v>
      </c>
      <c r="V115" s="8">
        <v>7157281</v>
      </c>
      <c r="W115" s="8">
        <v>2520100</v>
      </c>
      <c r="X115" s="8">
        <v>384460</v>
      </c>
      <c r="Y115" s="5">
        <f t="shared" si="22"/>
        <v>10061841</v>
      </c>
      <c r="Z115" s="5"/>
      <c r="AA115" s="8">
        <v>25800</v>
      </c>
      <c r="AB115" s="5">
        <f t="shared" si="23"/>
        <v>10087641</v>
      </c>
      <c r="AD115" s="6">
        <v>45402</v>
      </c>
      <c r="AE115" s="8">
        <v>3427647</v>
      </c>
      <c r="AF115" s="8">
        <v>1204200</v>
      </c>
      <c r="AG115" s="8">
        <v>300140</v>
      </c>
      <c r="AH115" s="5">
        <f t="shared" si="16"/>
        <v>4931987</v>
      </c>
      <c r="AI115" s="5">
        <v>1551440</v>
      </c>
      <c r="AJ115" s="8">
        <v>0</v>
      </c>
      <c r="AK115" s="5">
        <f t="shared" si="26"/>
        <v>6483427</v>
      </c>
      <c r="AM115" s="6">
        <v>45768</v>
      </c>
      <c r="AN115" s="8">
        <v>6087949</v>
      </c>
      <c r="AO115" s="8">
        <v>1302440</v>
      </c>
      <c r="AP115" s="8">
        <v>349860</v>
      </c>
      <c r="AQ115" s="5">
        <f t="shared" si="30"/>
        <v>7740249</v>
      </c>
      <c r="AR115" s="5">
        <v>1086900</v>
      </c>
      <c r="AS115" s="5"/>
      <c r="AT115" s="8">
        <f t="shared" si="24"/>
        <v>1086900</v>
      </c>
      <c r="AU115" s="5"/>
      <c r="AV115" s="5">
        <f t="shared" si="28"/>
        <v>8827149</v>
      </c>
      <c r="AX115" s="6">
        <v>46134</v>
      </c>
      <c r="AY115" s="8">
        <v>8300870</v>
      </c>
      <c r="AZ115" s="8">
        <v>1163400</v>
      </c>
      <c r="BA115" s="8">
        <v>215700</v>
      </c>
      <c r="BB115" s="5">
        <f t="shared" si="29"/>
        <v>9679970</v>
      </c>
      <c r="BC115" s="5">
        <v>1231280</v>
      </c>
      <c r="BD115" s="5">
        <v>187400</v>
      </c>
      <c r="BE115" s="8">
        <f t="shared" si="25"/>
        <v>1418680</v>
      </c>
      <c r="BF115" s="5">
        <v>62500</v>
      </c>
      <c r="BG115" s="5">
        <f t="shared" si="21"/>
        <v>11161150</v>
      </c>
    </row>
    <row r="116" spans="1:59">
      <c r="A116" s="6">
        <v>43946</v>
      </c>
      <c r="B116" s="8">
        <v>4824212</v>
      </c>
      <c r="C116" s="8">
        <v>3212740</v>
      </c>
      <c r="D116" s="7">
        <f t="shared" si="17"/>
        <v>8036952</v>
      </c>
      <c r="F116" s="6">
        <v>44310</v>
      </c>
      <c r="G116" s="5">
        <v>5847691</v>
      </c>
      <c r="H116" s="5">
        <v>966170</v>
      </c>
      <c r="I116" s="8">
        <v>213540</v>
      </c>
      <c r="K116" s="7">
        <f t="shared" si="18"/>
        <v>7027401</v>
      </c>
      <c r="M116" s="6">
        <v>44674</v>
      </c>
      <c r="N116" s="5">
        <v>5011915</v>
      </c>
      <c r="O116" s="5">
        <v>2085330</v>
      </c>
      <c r="P116" s="5">
        <v>220170</v>
      </c>
      <c r="Q116" s="5">
        <f t="shared" si="19"/>
        <v>7317415</v>
      </c>
      <c r="R116" s="5">
        <v>32060</v>
      </c>
      <c r="S116" s="5">
        <f t="shared" si="20"/>
        <v>7349475</v>
      </c>
      <c r="U116" s="6">
        <v>45038</v>
      </c>
      <c r="V116" s="8">
        <v>776254</v>
      </c>
      <c r="W116" s="8">
        <v>707110</v>
      </c>
      <c r="X116" s="8">
        <v>255820</v>
      </c>
      <c r="Y116" s="5">
        <f t="shared" si="22"/>
        <v>1739184</v>
      </c>
      <c r="Z116" s="5"/>
      <c r="AA116" s="8">
        <v>0</v>
      </c>
      <c r="AB116" s="5">
        <f t="shared" si="23"/>
        <v>1739184</v>
      </c>
      <c r="AD116" s="6">
        <v>45403</v>
      </c>
      <c r="AE116" s="8">
        <v>9225580</v>
      </c>
      <c r="AF116" s="8">
        <v>1776340</v>
      </c>
      <c r="AG116" s="8">
        <v>338410</v>
      </c>
      <c r="AH116" s="5">
        <f t="shared" si="16"/>
        <v>11340330</v>
      </c>
      <c r="AI116" s="5">
        <v>2315840</v>
      </c>
      <c r="AJ116" s="8">
        <v>0</v>
      </c>
      <c r="AK116" s="5">
        <f t="shared" si="26"/>
        <v>13656170</v>
      </c>
      <c r="AM116" s="6">
        <v>45769</v>
      </c>
      <c r="AN116" s="8">
        <v>10086620</v>
      </c>
      <c r="AO116" s="8">
        <v>2640770</v>
      </c>
      <c r="AP116" s="8">
        <v>567710</v>
      </c>
      <c r="AQ116" s="5">
        <f t="shared" si="30"/>
        <v>13295100</v>
      </c>
      <c r="AR116" s="5">
        <v>788570</v>
      </c>
      <c r="AS116" s="5"/>
      <c r="AT116" s="8">
        <f t="shared" si="24"/>
        <v>788570</v>
      </c>
      <c r="AU116" s="5"/>
      <c r="AV116" s="5">
        <f t="shared" si="28"/>
        <v>14083670</v>
      </c>
      <c r="AX116" s="6">
        <v>46135</v>
      </c>
      <c r="AY116" s="8">
        <v>7256668</v>
      </c>
      <c r="AZ116" s="8">
        <v>1260510</v>
      </c>
      <c r="BA116" s="8">
        <v>303810</v>
      </c>
      <c r="BB116" s="5">
        <f t="shared" si="29"/>
        <v>8820988</v>
      </c>
      <c r="BC116" s="5">
        <v>1397810</v>
      </c>
      <c r="BD116" s="5">
        <v>119600</v>
      </c>
      <c r="BE116" s="8">
        <f t="shared" si="25"/>
        <v>1517410</v>
      </c>
      <c r="BF116" s="5">
        <v>335650</v>
      </c>
      <c r="BG116" s="5">
        <f t="shared" si="21"/>
        <v>10674048</v>
      </c>
    </row>
    <row r="117" spans="1:59">
      <c r="A117" s="6">
        <v>43947</v>
      </c>
      <c r="B117" s="8">
        <v>4764054</v>
      </c>
      <c r="C117" s="8">
        <v>3640050</v>
      </c>
      <c r="D117" s="7">
        <f t="shared" si="17"/>
        <v>8404104</v>
      </c>
      <c r="F117" s="6">
        <v>44311</v>
      </c>
      <c r="G117" s="5">
        <v>7517684</v>
      </c>
      <c r="H117" s="5">
        <v>1184310</v>
      </c>
      <c r="I117" s="8">
        <v>274320</v>
      </c>
      <c r="K117" s="7">
        <f t="shared" si="18"/>
        <v>8976314</v>
      </c>
      <c r="M117" s="6">
        <v>44675</v>
      </c>
      <c r="N117" s="5">
        <v>2577360</v>
      </c>
      <c r="O117" s="5">
        <v>1287280</v>
      </c>
      <c r="P117" s="5">
        <v>199560</v>
      </c>
      <c r="Q117" s="5">
        <f t="shared" si="19"/>
        <v>4064200</v>
      </c>
      <c r="R117" s="5">
        <v>142050</v>
      </c>
      <c r="S117" s="5">
        <f t="shared" si="20"/>
        <v>4206250</v>
      </c>
      <c r="U117" s="6">
        <v>45039</v>
      </c>
      <c r="V117" s="8">
        <v>1070172</v>
      </c>
      <c r="W117" s="8">
        <v>939470</v>
      </c>
      <c r="X117" s="8">
        <v>260840</v>
      </c>
      <c r="Y117" s="5">
        <f t="shared" si="22"/>
        <v>2270482</v>
      </c>
      <c r="Z117" s="5"/>
      <c r="AA117" s="8">
        <v>0</v>
      </c>
      <c r="AB117" s="5">
        <f t="shared" si="23"/>
        <v>2270482</v>
      </c>
      <c r="AD117" s="6">
        <v>45404</v>
      </c>
      <c r="AE117" s="8">
        <v>10560681</v>
      </c>
      <c r="AF117" s="8">
        <v>1697260</v>
      </c>
      <c r="AG117" s="8">
        <v>546520</v>
      </c>
      <c r="AH117" s="5">
        <f t="shared" si="16"/>
        <v>12804461</v>
      </c>
      <c r="AI117" s="5">
        <v>3173680</v>
      </c>
      <c r="AJ117" s="8">
        <v>0</v>
      </c>
      <c r="AK117" s="5">
        <f t="shared" si="26"/>
        <v>15978141</v>
      </c>
      <c r="AM117" s="6">
        <v>45770</v>
      </c>
      <c r="AN117" s="8">
        <v>6373364</v>
      </c>
      <c r="AO117" s="8">
        <v>1755480</v>
      </c>
      <c r="AP117" s="8">
        <v>248120</v>
      </c>
      <c r="AQ117" s="5">
        <f t="shared" si="30"/>
        <v>8376964</v>
      </c>
      <c r="AR117" s="5">
        <v>995410</v>
      </c>
      <c r="AS117" s="5"/>
      <c r="AT117" s="8">
        <f t="shared" si="24"/>
        <v>995410</v>
      </c>
      <c r="AU117" s="5"/>
      <c r="AV117" s="5">
        <f t="shared" si="28"/>
        <v>9372374</v>
      </c>
      <c r="AX117" s="6">
        <v>46136</v>
      </c>
      <c r="AY117" s="8">
        <v>7713750</v>
      </c>
      <c r="AZ117" s="8">
        <v>840510</v>
      </c>
      <c r="BA117" s="8">
        <v>131490</v>
      </c>
      <c r="BB117" s="5">
        <f t="shared" si="29"/>
        <v>8685750</v>
      </c>
      <c r="BC117" s="5">
        <v>1648160</v>
      </c>
      <c r="BD117" s="5">
        <v>195400</v>
      </c>
      <c r="BE117" s="8">
        <f t="shared" si="25"/>
        <v>1843560</v>
      </c>
      <c r="BF117" s="5">
        <v>224265</v>
      </c>
      <c r="BG117" s="5">
        <f t="shared" si="21"/>
        <v>10753575</v>
      </c>
    </row>
    <row r="118" spans="1:59">
      <c r="A118" s="6">
        <v>43948</v>
      </c>
      <c r="B118" s="8">
        <v>5160472</v>
      </c>
      <c r="C118" s="8">
        <v>3334840</v>
      </c>
      <c r="D118" s="7">
        <f t="shared" si="17"/>
        <v>8495312</v>
      </c>
      <c r="F118" s="6">
        <v>44312</v>
      </c>
      <c r="G118" s="5">
        <v>14952306</v>
      </c>
      <c r="H118" s="5">
        <v>2848180</v>
      </c>
      <c r="I118" s="8">
        <v>669000</v>
      </c>
      <c r="K118" s="7">
        <f t="shared" si="18"/>
        <v>18469486</v>
      </c>
      <c r="M118" s="6">
        <v>44676</v>
      </c>
      <c r="N118" s="5">
        <v>6306293</v>
      </c>
      <c r="O118" s="5">
        <v>2972743</v>
      </c>
      <c r="P118" s="5">
        <v>364290</v>
      </c>
      <c r="Q118" s="5">
        <f t="shared" si="19"/>
        <v>9643326</v>
      </c>
      <c r="R118" s="5">
        <v>156460</v>
      </c>
      <c r="S118" s="5">
        <f t="shared" si="20"/>
        <v>9799786</v>
      </c>
      <c r="U118" s="6">
        <v>45040</v>
      </c>
      <c r="V118" s="8">
        <v>10937598</v>
      </c>
      <c r="W118" s="8">
        <v>4059260</v>
      </c>
      <c r="X118" s="8">
        <v>918220</v>
      </c>
      <c r="Y118" s="5">
        <f t="shared" si="22"/>
        <v>15915078</v>
      </c>
      <c r="Z118" s="5"/>
      <c r="AA118" s="8">
        <v>1000</v>
      </c>
      <c r="AB118" s="5">
        <f t="shared" si="23"/>
        <v>15916078</v>
      </c>
      <c r="AD118" s="6">
        <v>45405</v>
      </c>
      <c r="AE118" s="8">
        <v>7042929</v>
      </c>
      <c r="AF118" s="8">
        <v>2163120</v>
      </c>
      <c r="AG118" s="8">
        <v>246050</v>
      </c>
      <c r="AH118" s="5">
        <f t="shared" si="16"/>
        <v>9452099</v>
      </c>
      <c r="AI118" s="5">
        <v>2208820</v>
      </c>
      <c r="AJ118" s="8">
        <v>0</v>
      </c>
      <c r="AK118" s="5">
        <f t="shared" si="26"/>
        <v>11660919</v>
      </c>
      <c r="AM118" s="6">
        <v>45771</v>
      </c>
      <c r="AN118" s="8">
        <v>8366858</v>
      </c>
      <c r="AO118" s="8">
        <v>1928200</v>
      </c>
      <c r="AP118" s="8">
        <v>155560</v>
      </c>
      <c r="AQ118" s="5">
        <f t="shared" si="30"/>
        <v>10450618</v>
      </c>
      <c r="AR118" s="5">
        <v>1327780</v>
      </c>
      <c r="AS118" s="5"/>
      <c r="AT118" s="8">
        <f t="shared" si="24"/>
        <v>1327780</v>
      </c>
      <c r="AU118" s="5"/>
      <c r="AV118" s="5">
        <f t="shared" si="28"/>
        <v>11778398</v>
      </c>
      <c r="AX118" s="6">
        <v>46137</v>
      </c>
      <c r="AY118" s="8">
        <v>2824260</v>
      </c>
      <c r="AZ118" s="8">
        <v>468350</v>
      </c>
      <c r="BA118" s="8">
        <v>88300</v>
      </c>
      <c r="BB118" s="5">
        <f t="shared" si="29"/>
        <v>3380910</v>
      </c>
      <c r="BC118" s="5">
        <v>564500</v>
      </c>
      <c r="BD118" s="5">
        <v>257220</v>
      </c>
      <c r="BE118" s="8">
        <f t="shared" si="25"/>
        <v>821720</v>
      </c>
      <c r="BF118" s="5">
        <v>218750</v>
      </c>
      <c r="BG118" s="5">
        <f t="shared" si="21"/>
        <v>4421380</v>
      </c>
    </row>
    <row r="119" spans="1:59">
      <c r="A119" s="6">
        <v>43949</v>
      </c>
      <c r="B119" s="8">
        <v>4764054</v>
      </c>
      <c r="C119" s="8">
        <v>3640050</v>
      </c>
      <c r="D119" s="7">
        <f t="shared" si="17"/>
        <v>8404104</v>
      </c>
      <c r="F119" s="6">
        <v>44313</v>
      </c>
      <c r="G119" s="5">
        <v>2635370</v>
      </c>
      <c r="H119" s="5">
        <v>526700</v>
      </c>
      <c r="I119" s="8">
        <v>140190</v>
      </c>
      <c r="K119" s="7">
        <f t="shared" si="18"/>
        <v>3302260</v>
      </c>
      <c r="M119" s="6">
        <v>44677</v>
      </c>
      <c r="N119" s="5">
        <v>8438772</v>
      </c>
      <c r="O119" s="5">
        <v>2972540</v>
      </c>
      <c r="P119" s="5">
        <v>407370</v>
      </c>
      <c r="Q119" s="5">
        <f t="shared" si="19"/>
        <v>11818682</v>
      </c>
      <c r="R119" s="5">
        <v>144000</v>
      </c>
      <c r="S119" s="5">
        <f t="shared" si="20"/>
        <v>11962682</v>
      </c>
      <c r="U119" s="6">
        <v>45041</v>
      </c>
      <c r="V119" s="8">
        <v>9755480</v>
      </c>
      <c r="W119" s="8">
        <v>5305560</v>
      </c>
      <c r="X119" s="8">
        <v>484140</v>
      </c>
      <c r="Y119" s="5">
        <f t="shared" si="22"/>
        <v>15545180</v>
      </c>
      <c r="Z119" s="5"/>
      <c r="AA119" s="8">
        <v>39615</v>
      </c>
      <c r="AB119" s="5">
        <f t="shared" si="23"/>
        <v>15584795</v>
      </c>
      <c r="AD119" s="6">
        <v>45406</v>
      </c>
      <c r="AE119" s="8">
        <v>6790343</v>
      </c>
      <c r="AF119" s="8">
        <v>1902710</v>
      </c>
      <c r="AG119" s="8">
        <v>782140</v>
      </c>
      <c r="AH119" s="5">
        <f t="shared" si="16"/>
        <v>9475193</v>
      </c>
      <c r="AI119" s="5">
        <v>2722640</v>
      </c>
      <c r="AJ119" s="8">
        <v>0</v>
      </c>
      <c r="AK119" s="5">
        <f t="shared" si="26"/>
        <v>12197833</v>
      </c>
      <c r="AM119" s="6">
        <v>45772</v>
      </c>
      <c r="AN119" s="8">
        <v>5971154</v>
      </c>
      <c r="AO119" s="8">
        <v>1770660</v>
      </c>
      <c r="AP119" s="8">
        <v>302670</v>
      </c>
      <c r="AQ119" s="5">
        <f t="shared" si="30"/>
        <v>8044484</v>
      </c>
      <c r="AR119" s="5">
        <v>735380</v>
      </c>
      <c r="AS119" s="5"/>
      <c r="AT119" s="8">
        <f t="shared" si="24"/>
        <v>735380</v>
      </c>
      <c r="AU119" s="5"/>
      <c r="AV119" s="5">
        <f t="shared" si="28"/>
        <v>8779864</v>
      </c>
      <c r="AX119" s="6">
        <v>46138</v>
      </c>
      <c r="AY119" s="8">
        <v>4031890</v>
      </c>
      <c r="AZ119" s="8">
        <v>680340</v>
      </c>
      <c r="BA119" s="8">
        <v>160820</v>
      </c>
      <c r="BB119" s="5">
        <f t="shared" si="29"/>
        <v>4873050</v>
      </c>
      <c r="BC119" s="5">
        <v>1053400</v>
      </c>
      <c r="BD119" s="5">
        <v>222700</v>
      </c>
      <c r="BE119" s="8">
        <f t="shared" si="25"/>
        <v>1276100</v>
      </c>
      <c r="BF119" s="5">
        <v>197500</v>
      </c>
      <c r="BG119" s="5">
        <f t="shared" si="21"/>
        <v>6346650</v>
      </c>
    </row>
    <row r="120" spans="1:59">
      <c r="A120" s="6">
        <v>43950</v>
      </c>
      <c r="B120" s="8">
        <v>4598127</v>
      </c>
      <c r="C120" s="8">
        <v>3168020</v>
      </c>
      <c r="D120" s="7">
        <f t="shared" si="17"/>
        <v>7766147</v>
      </c>
      <c r="F120" s="6">
        <v>44314</v>
      </c>
      <c r="G120" s="5">
        <v>15812441</v>
      </c>
      <c r="H120" s="5">
        <v>2732570</v>
      </c>
      <c r="I120" s="8">
        <v>606750</v>
      </c>
      <c r="K120" s="7">
        <f t="shared" si="18"/>
        <v>19151761</v>
      </c>
      <c r="M120" s="6">
        <v>44678</v>
      </c>
      <c r="N120" s="5">
        <v>7769150</v>
      </c>
      <c r="O120" s="5">
        <v>3873400</v>
      </c>
      <c r="P120" s="5">
        <v>282530</v>
      </c>
      <c r="Q120" s="5">
        <f t="shared" si="19"/>
        <v>11925080</v>
      </c>
      <c r="R120" s="5">
        <v>140340</v>
      </c>
      <c r="S120" s="5">
        <f t="shared" si="20"/>
        <v>12065420</v>
      </c>
      <c r="U120" s="6">
        <v>45042</v>
      </c>
      <c r="V120" s="8">
        <v>12733589</v>
      </c>
      <c r="W120" s="8">
        <v>3999580</v>
      </c>
      <c r="X120" s="8">
        <v>736120</v>
      </c>
      <c r="Y120" s="5">
        <f t="shared" si="22"/>
        <v>17469289</v>
      </c>
      <c r="Z120" s="5"/>
      <c r="AA120" s="8">
        <v>70570</v>
      </c>
      <c r="AB120" s="5">
        <f t="shared" si="23"/>
        <v>17539859</v>
      </c>
      <c r="AD120" s="6">
        <v>45407</v>
      </c>
      <c r="AE120" s="8">
        <v>6941874</v>
      </c>
      <c r="AF120" s="8">
        <v>1748980</v>
      </c>
      <c r="AG120" s="8">
        <v>211820</v>
      </c>
      <c r="AH120" s="5">
        <f t="shared" si="16"/>
        <v>8902674</v>
      </c>
      <c r="AI120" s="5">
        <v>2220320</v>
      </c>
      <c r="AJ120" s="8">
        <v>0</v>
      </c>
      <c r="AK120" s="5">
        <f t="shared" si="26"/>
        <v>11122994</v>
      </c>
      <c r="AM120" s="6">
        <v>45773</v>
      </c>
      <c r="AN120" s="8">
        <v>4326607</v>
      </c>
      <c r="AO120" s="8">
        <v>1336020</v>
      </c>
      <c r="AP120" s="8">
        <v>212580</v>
      </c>
      <c r="AQ120" s="5">
        <f t="shared" si="30"/>
        <v>5875207</v>
      </c>
      <c r="AR120" s="5">
        <v>625030</v>
      </c>
      <c r="AS120" s="5"/>
      <c r="AT120" s="8">
        <f t="shared" si="24"/>
        <v>625030</v>
      </c>
      <c r="AU120" s="5"/>
      <c r="AV120" s="5">
        <f t="shared" si="28"/>
        <v>6500237</v>
      </c>
      <c r="AX120" s="6">
        <v>46139</v>
      </c>
      <c r="AY120" s="8">
        <v>8530010</v>
      </c>
      <c r="AZ120" s="8">
        <v>1504850</v>
      </c>
      <c r="BA120" s="8">
        <v>191860</v>
      </c>
      <c r="BB120" s="5">
        <f t="shared" si="29"/>
        <v>10226720</v>
      </c>
      <c r="BC120" s="5">
        <v>803240</v>
      </c>
      <c r="BD120" s="5">
        <v>165500</v>
      </c>
      <c r="BE120" s="8">
        <f t="shared" si="25"/>
        <v>968740</v>
      </c>
      <c r="BF120" s="5">
        <v>196000</v>
      </c>
      <c r="BG120" s="5">
        <f t="shared" si="21"/>
        <v>11391460</v>
      </c>
    </row>
    <row r="121" spans="1:59">
      <c r="A121" s="6">
        <v>43951</v>
      </c>
      <c r="B121" s="10">
        <v>2039069</v>
      </c>
      <c r="C121" s="10">
        <v>1753490</v>
      </c>
      <c r="D121" s="11">
        <f t="shared" si="17"/>
        <v>3792559</v>
      </c>
      <c r="F121" s="18">
        <v>44315</v>
      </c>
      <c r="G121" s="11">
        <v>7034528</v>
      </c>
      <c r="H121" s="11">
        <v>1603340</v>
      </c>
      <c r="I121" s="10">
        <v>384140</v>
      </c>
      <c r="J121" s="10"/>
      <c r="K121" s="7">
        <f t="shared" si="18"/>
        <v>9022008</v>
      </c>
      <c r="M121" s="6">
        <v>44679</v>
      </c>
      <c r="N121" s="5">
        <v>10324779</v>
      </c>
      <c r="O121" s="5">
        <v>3912280</v>
      </c>
      <c r="P121" s="5">
        <v>341780</v>
      </c>
      <c r="Q121" s="5">
        <f t="shared" si="19"/>
        <v>14578839</v>
      </c>
      <c r="R121" s="5">
        <v>72000</v>
      </c>
      <c r="S121" s="5">
        <f t="shared" si="20"/>
        <v>14650839</v>
      </c>
      <c r="U121" s="6">
        <v>45043</v>
      </c>
      <c r="V121" s="8">
        <v>12598398</v>
      </c>
      <c r="W121" s="8">
        <v>2896580</v>
      </c>
      <c r="X121" s="8">
        <v>434900</v>
      </c>
      <c r="Y121" s="5">
        <f t="shared" si="22"/>
        <v>15929878</v>
      </c>
      <c r="Z121" s="5"/>
      <c r="AA121" s="8">
        <v>14900</v>
      </c>
      <c r="AB121" s="5">
        <f t="shared" si="23"/>
        <v>15944778</v>
      </c>
      <c r="AD121" s="6">
        <v>45408</v>
      </c>
      <c r="AE121" s="8">
        <v>4341041</v>
      </c>
      <c r="AF121" s="8">
        <v>1050280</v>
      </c>
      <c r="AG121" s="8">
        <v>417950</v>
      </c>
      <c r="AH121" s="5">
        <f t="shared" si="16"/>
        <v>5809271</v>
      </c>
      <c r="AI121" s="5">
        <v>2468630</v>
      </c>
      <c r="AJ121" s="8">
        <v>0</v>
      </c>
      <c r="AK121" s="5">
        <f t="shared" si="26"/>
        <v>8277901</v>
      </c>
      <c r="AM121" s="6">
        <v>45774</v>
      </c>
      <c r="AN121" s="8">
        <v>5226792</v>
      </c>
      <c r="AO121" s="8">
        <v>1609900</v>
      </c>
      <c r="AP121" s="8">
        <v>336830</v>
      </c>
      <c r="AQ121" s="5">
        <f t="shared" si="30"/>
        <v>7173522</v>
      </c>
      <c r="AR121" s="5">
        <v>1136980</v>
      </c>
      <c r="AS121" s="5"/>
      <c r="AT121" s="8">
        <f t="shared" si="24"/>
        <v>1136980</v>
      </c>
      <c r="AU121" s="5"/>
      <c r="AV121" s="5">
        <f t="shared" si="28"/>
        <v>8310502</v>
      </c>
      <c r="AX121" s="6">
        <v>46140</v>
      </c>
      <c r="AY121" s="8">
        <v>9988840</v>
      </c>
      <c r="AZ121" s="8">
        <v>1111830</v>
      </c>
      <c r="BA121" s="8">
        <v>116280</v>
      </c>
      <c r="BB121" s="5">
        <f t="shared" si="29"/>
        <v>11216950</v>
      </c>
      <c r="BC121" s="5">
        <v>1227090</v>
      </c>
      <c r="BD121" s="5">
        <v>247600</v>
      </c>
      <c r="BE121" s="8">
        <f t="shared" si="25"/>
        <v>1474690</v>
      </c>
      <c r="BF121" s="5">
        <v>167560</v>
      </c>
      <c r="BG121" s="5">
        <f t="shared" si="21"/>
        <v>12859200</v>
      </c>
    </row>
    <row r="122" spans="1:59">
      <c r="A122" s="6">
        <v>43952</v>
      </c>
      <c r="B122" s="11">
        <v>3224508</v>
      </c>
      <c r="C122" s="11">
        <v>2358940</v>
      </c>
      <c r="D122" s="11">
        <f t="shared" si="17"/>
        <v>5583448</v>
      </c>
      <c r="F122" s="18">
        <v>44316</v>
      </c>
      <c r="G122" s="11">
        <v>8028074</v>
      </c>
      <c r="H122" s="11">
        <v>1267365</v>
      </c>
      <c r="I122" s="10">
        <v>380440</v>
      </c>
      <c r="J122" s="10"/>
      <c r="K122" s="7">
        <f t="shared" si="18"/>
        <v>9675879</v>
      </c>
      <c r="M122" s="6">
        <v>44680</v>
      </c>
      <c r="N122" s="5">
        <v>6773798</v>
      </c>
      <c r="O122" s="5">
        <v>2851150</v>
      </c>
      <c r="P122" s="5">
        <v>479060</v>
      </c>
      <c r="Q122" s="5">
        <f t="shared" si="19"/>
        <v>10104008</v>
      </c>
      <c r="R122" s="5">
        <v>88010</v>
      </c>
      <c r="S122" s="5">
        <f t="shared" si="20"/>
        <v>10192018</v>
      </c>
      <c r="U122" s="6">
        <v>45044</v>
      </c>
      <c r="V122" s="8">
        <v>14441430</v>
      </c>
      <c r="W122" s="8">
        <v>4081430</v>
      </c>
      <c r="X122" s="8">
        <v>178100</v>
      </c>
      <c r="Y122" s="5">
        <f t="shared" si="22"/>
        <v>18700960</v>
      </c>
      <c r="Z122" s="5"/>
      <c r="AA122" s="8">
        <v>0</v>
      </c>
      <c r="AB122" s="5">
        <f t="shared" si="23"/>
        <v>18700960</v>
      </c>
      <c r="AD122" s="6">
        <v>45409</v>
      </c>
      <c r="AE122" s="8">
        <v>2871610</v>
      </c>
      <c r="AF122" s="8">
        <v>937690</v>
      </c>
      <c r="AG122" s="8">
        <v>109020</v>
      </c>
      <c r="AH122" s="5">
        <f t="shared" si="16"/>
        <v>3918320</v>
      </c>
      <c r="AI122" s="5">
        <v>1277340</v>
      </c>
      <c r="AJ122" s="8">
        <v>0</v>
      </c>
      <c r="AK122" s="5">
        <f t="shared" si="26"/>
        <v>5195660</v>
      </c>
      <c r="AM122" s="6">
        <v>45775</v>
      </c>
      <c r="AN122" s="8">
        <v>9943255</v>
      </c>
      <c r="AO122" s="8">
        <v>2359640</v>
      </c>
      <c r="AP122" s="8">
        <v>418190</v>
      </c>
      <c r="AQ122" s="5">
        <f>SUM(AN122:AP122)</f>
        <v>12721085</v>
      </c>
      <c r="AR122" s="5">
        <v>875680</v>
      </c>
      <c r="AS122" s="5"/>
      <c r="AT122" s="8">
        <f t="shared" si="24"/>
        <v>875680</v>
      </c>
      <c r="AU122" s="5"/>
      <c r="AV122" s="5">
        <f>AQ122+AT122</f>
        <v>13596765</v>
      </c>
      <c r="AX122" s="6">
        <v>46141</v>
      </c>
      <c r="AY122" s="8">
        <v>8151630</v>
      </c>
      <c r="AZ122" s="8">
        <v>1110650</v>
      </c>
      <c r="BA122" s="8">
        <v>30540</v>
      </c>
      <c r="BB122" s="5">
        <f t="shared" si="29"/>
        <v>9292820</v>
      </c>
      <c r="BC122" s="5">
        <v>937650</v>
      </c>
      <c r="BD122" s="5">
        <v>70400</v>
      </c>
      <c r="BE122" s="8">
        <f t="shared" si="25"/>
        <v>1008050</v>
      </c>
      <c r="BF122" s="5">
        <v>178280</v>
      </c>
      <c r="BG122" s="5">
        <f t="shared" si="21"/>
        <v>10479150</v>
      </c>
    </row>
    <row r="123" spans="1:59">
      <c r="A123" s="6">
        <v>43953</v>
      </c>
      <c r="B123" s="11">
        <v>2056987</v>
      </c>
      <c r="C123" s="11">
        <v>2202730</v>
      </c>
      <c r="D123" s="11">
        <f t="shared" si="17"/>
        <v>4259717</v>
      </c>
      <c r="F123" s="18">
        <v>44317</v>
      </c>
      <c r="G123" s="11">
        <v>7661626</v>
      </c>
      <c r="H123" s="11">
        <v>634260</v>
      </c>
      <c r="I123" s="11">
        <v>300460</v>
      </c>
      <c r="J123" s="11"/>
      <c r="K123" s="7">
        <f t="shared" si="18"/>
        <v>8596346</v>
      </c>
      <c r="M123" s="6">
        <v>44681</v>
      </c>
      <c r="N123" s="5">
        <v>13140367</v>
      </c>
      <c r="O123" s="5">
        <v>4555050</v>
      </c>
      <c r="P123" s="5">
        <v>176990</v>
      </c>
      <c r="Q123" s="5">
        <f t="shared" si="19"/>
        <v>17872407</v>
      </c>
      <c r="R123" s="5">
        <v>58500</v>
      </c>
      <c r="S123" s="5">
        <f t="shared" si="20"/>
        <v>17930907</v>
      </c>
      <c r="U123" s="6">
        <v>45045</v>
      </c>
      <c r="V123" s="8">
        <v>474383</v>
      </c>
      <c r="W123" s="8">
        <v>397970</v>
      </c>
      <c r="X123" s="8">
        <v>260140</v>
      </c>
      <c r="Y123" s="5">
        <f t="shared" si="22"/>
        <v>1132493</v>
      </c>
      <c r="Z123" s="5"/>
      <c r="AA123" s="8">
        <v>28310</v>
      </c>
      <c r="AB123" s="5">
        <f t="shared" si="23"/>
        <v>1160803</v>
      </c>
      <c r="AD123" s="6">
        <v>45410</v>
      </c>
      <c r="AE123" s="8">
        <v>3727763</v>
      </c>
      <c r="AF123" s="8">
        <v>1206510</v>
      </c>
      <c r="AG123" s="8">
        <v>556560</v>
      </c>
      <c r="AH123" s="5">
        <f t="shared" si="16"/>
        <v>5490833</v>
      </c>
      <c r="AI123" s="5">
        <v>1746650</v>
      </c>
      <c r="AJ123" s="8">
        <v>0</v>
      </c>
      <c r="AK123" s="5">
        <f t="shared" si="26"/>
        <v>7237483</v>
      </c>
      <c r="AM123" s="6">
        <v>45776</v>
      </c>
      <c r="AN123" s="8">
        <v>14139229</v>
      </c>
      <c r="AO123" s="8">
        <v>2282180</v>
      </c>
      <c r="AP123" s="8">
        <v>319880</v>
      </c>
      <c r="AQ123" s="5">
        <f>SUM(AN123:AP123)</f>
        <v>16741289</v>
      </c>
      <c r="AR123" s="5">
        <v>825390</v>
      </c>
      <c r="AS123" s="5"/>
      <c r="AT123" s="8">
        <f t="shared" si="24"/>
        <v>825390</v>
      </c>
      <c r="AU123" s="5"/>
      <c r="AV123" s="5">
        <f>AQ123+AT123</f>
        <v>17566679</v>
      </c>
      <c r="AX123" s="6">
        <v>46142</v>
      </c>
      <c r="AY123" s="8">
        <v>9498490</v>
      </c>
      <c r="AZ123" s="8">
        <v>1246700</v>
      </c>
      <c r="BA123" s="8">
        <v>180960</v>
      </c>
      <c r="BB123" s="5">
        <f t="shared" si="29"/>
        <v>10926150</v>
      </c>
      <c r="BC123" s="5">
        <v>556590</v>
      </c>
      <c r="BD123" s="5">
        <v>0</v>
      </c>
      <c r="BE123" s="8">
        <f t="shared" si="25"/>
        <v>556590</v>
      </c>
      <c r="BF123" s="5">
        <v>32320</v>
      </c>
      <c r="BG123" s="5">
        <f t="shared" si="21"/>
        <v>11515060</v>
      </c>
    </row>
    <row r="124" spans="1:59">
      <c r="A124" s="6">
        <v>43954</v>
      </c>
      <c r="B124" s="11">
        <v>4081022</v>
      </c>
      <c r="C124" s="11">
        <v>2291100</v>
      </c>
      <c r="D124" s="11">
        <f t="shared" si="17"/>
        <v>6372122</v>
      </c>
      <c r="F124" s="18">
        <v>44318</v>
      </c>
      <c r="G124" s="11">
        <v>8694234</v>
      </c>
      <c r="H124" s="11">
        <v>1051220</v>
      </c>
      <c r="I124" s="11">
        <v>469940</v>
      </c>
      <c r="J124" s="11"/>
      <c r="K124" s="7">
        <f t="shared" si="18"/>
        <v>10215394</v>
      </c>
      <c r="M124" s="6">
        <v>44682</v>
      </c>
      <c r="N124" s="5">
        <v>1077645</v>
      </c>
      <c r="O124" s="5">
        <v>931170</v>
      </c>
      <c r="P124" s="5">
        <v>315530</v>
      </c>
      <c r="Q124" s="5">
        <f t="shared" si="19"/>
        <v>2324345</v>
      </c>
      <c r="R124" s="5">
        <v>106140</v>
      </c>
      <c r="S124" s="5">
        <f t="shared" si="20"/>
        <v>2430485</v>
      </c>
      <c r="U124" s="6">
        <v>45046</v>
      </c>
      <c r="V124" s="8">
        <v>777671</v>
      </c>
      <c r="W124" s="8">
        <v>782010</v>
      </c>
      <c r="X124" s="8">
        <v>366400</v>
      </c>
      <c r="Y124" s="5">
        <f t="shared" si="22"/>
        <v>1926081</v>
      </c>
      <c r="Z124" s="5"/>
      <c r="AA124" s="8">
        <v>0</v>
      </c>
      <c r="AB124" s="5">
        <f t="shared" si="23"/>
        <v>1926081</v>
      </c>
      <c r="AD124" s="6">
        <v>45411</v>
      </c>
      <c r="AE124" s="8">
        <v>11703658</v>
      </c>
      <c r="AF124" s="8">
        <v>2638750</v>
      </c>
      <c r="AG124" s="8">
        <v>462560</v>
      </c>
      <c r="AH124" s="5">
        <f t="shared" si="16"/>
        <v>14804968</v>
      </c>
      <c r="AI124" s="5">
        <v>6845752</v>
      </c>
      <c r="AJ124" s="8">
        <v>0</v>
      </c>
      <c r="AK124" s="5">
        <f t="shared" si="26"/>
        <v>21650720</v>
      </c>
      <c r="AM124" s="6">
        <v>45777</v>
      </c>
      <c r="AN124" s="8">
        <v>10101561</v>
      </c>
      <c r="AO124" s="8">
        <v>2072770</v>
      </c>
      <c r="AP124" s="8">
        <v>156830</v>
      </c>
      <c r="AQ124" s="5">
        <f t="shared" ref="AQ124:AQ137" si="31">SUM(AN124:AP124)</f>
        <v>12331161</v>
      </c>
      <c r="AR124" s="5">
        <v>1099730</v>
      </c>
      <c r="AS124" s="5"/>
      <c r="AT124" s="8">
        <f t="shared" si="24"/>
        <v>1099730</v>
      </c>
      <c r="AU124" s="5"/>
      <c r="AV124" s="5">
        <f t="shared" ref="AV124:AV137" si="32">AQ124+AT124</f>
        <v>13430891</v>
      </c>
      <c r="AX124" s="6">
        <v>46143</v>
      </c>
      <c r="AY124" s="8">
        <v>4265270</v>
      </c>
      <c r="AZ124" s="8">
        <v>717140</v>
      </c>
      <c r="BA124" s="8">
        <v>49300</v>
      </c>
      <c r="BB124" s="5">
        <f t="shared" si="29"/>
        <v>5031710</v>
      </c>
      <c r="BC124" s="5">
        <v>599700</v>
      </c>
      <c r="BD124" s="5">
        <v>290600</v>
      </c>
      <c r="BE124" s="8">
        <f t="shared" si="25"/>
        <v>890300</v>
      </c>
      <c r="BF124" s="5">
        <v>12500</v>
      </c>
      <c r="BG124" s="5">
        <f t="shared" si="21"/>
        <v>5934510</v>
      </c>
    </row>
    <row r="125" spans="1:59">
      <c r="A125" s="6">
        <v>43955</v>
      </c>
      <c r="B125" s="11">
        <v>4765739</v>
      </c>
      <c r="C125" s="11">
        <v>3153110</v>
      </c>
      <c r="D125" s="11">
        <f t="shared" si="17"/>
        <v>7918849</v>
      </c>
      <c r="F125" s="18">
        <v>44319</v>
      </c>
      <c r="G125" s="11">
        <v>6491340</v>
      </c>
      <c r="H125" s="11">
        <v>1571710</v>
      </c>
      <c r="I125" s="11">
        <v>543090</v>
      </c>
      <c r="J125" s="11"/>
      <c r="K125" s="7">
        <f t="shared" si="18"/>
        <v>8606140</v>
      </c>
      <c r="M125" s="6">
        <v>44683</v>
      </c>
      <c r="N125" s="5">
        <v>13008926</v>
      </c>
      <c r="O125" s="5">
        <v>4607970</v>
      </c>
      <c r="P125" s="5">
        <v>270720</v>
      </c>
      <c r="Q125" s="5">
        <f t="shared" si="19"/>
        <v>17887616</v>
      </c>
      <c r="R125" s="5">
        <v>213630</v>
      </c>
      <c r="S125" s="5">
        <f t="shared" si="20"/>
        <v>18101246</v>
      </c>
      <c r="U125" s="6">
        <v>45047</v>
      </c>
      <c r="V125" s="8">
        <v>15642035</v>
      </c>
      <c r="W125" s="8">
        <v>4322680</v>
      </c>
      <c r="X125" s="8">
        <v>613810</v>
      </c>
      <c r="Y125" s="5">
        <f t="shared" si="22"/>
        <v>20578525</v>
      </c>
      <c r="Z125" s="5"/>
      <c r="AA125" s="8">
        <v>14900</v>
      </c>
      <c r="AB125" s="5">
        <f t="shared" si="23"/>
        <v>20593425</v>
      </c>
      <c r="AD125" s="6">
        <v>45412</v>
      </c>
      <c r="AE125" s="8">
        <v>12600529</v>
      </c>
      <c r="AF125" s="8">
        <v>1797850</v>
      </c>
      <c r="AG125" s="8">
        <v>305860</v>
      </c>
      <c r="AH125" s="5">
        <f t="shared" si="16"/>
        <v>14704239</v>
      </c>
      <c r="AI125" s="5">
        <v>3377540</v>
      </c>
      <c r="AJ125" s="8">
        <v>0</v>
      </c>
      <c r="AK125" s="5">
        <f t="shared" si="26"/>
        <v>18081779</v>
      </c>
      <c r="AM125" s="6">
        <v>45778</v>
      </c>
      <c r="AN125" s="8">
        <v>2459012</v>
      </c>
      <c r="AO125" s="8">
        <v>1023120</v>
      </c>
      <c r="AP125" s="8">
        <v>274580</v>
      </c>
      <c r="AQ125" s="5">
        <f t="shared" si="31"/>
        <v>3756712</v>
      </c>
      <c r="AR125" s="5">
        <v>821470</v>
      </c>
      <c r="AS125" s="5"/>
      <c r="AT125" s="8">
        <f t="shared" si="24"/>
        <v>821470</v>
      </c>
      <c r="AU125" s="5"/>
      <c r="AV125" s="5">
        <f t="shared" si="32"/>
        <v>4578182</v>
      </c>
      <c r="AX125" s="6">
        <v>46144</v>
      </c>
      <c r="AY125" s="8">
        <v>2347950</v>
      </c>
      <c r="AZ125" s="8">
        <v>313820</v>
      </c>
      <c r="BA125" s="8">
        <v>64000</v>
      </c>
      <c r="BB125" s="5">
        <f t="shared" si="29"/>
        <v>2725770</v>
      </c>
      <c r="BC125" s="5">
        <v>484190</v>
      </c>
      <c r="BD125" s="5">
        <v>407880</v>
      </c>
      <c r="BE125" s="8">
        <f t="shared" si="25"/>
        <v>892070</v>
      </c>
      <c r="BF125" s="5">
        <v>112500</v>
      </c>
      <c r="BG125" s="5">
        <f t="shared" si="21"/>
        <v>3730340</v>
      </c>
    </row>
    <row r="126" spans="1:59">
      <c r="A126" s="6">
        <v>43956</v>
      </c>
      <c r="B126" s="11">
        <v>4081540</v>
      </c>
      <c r="C126" s="11">
        <v>2779890</v>
      </c>
      <c r="D126" s="11">
        <f t="shared" si="17"/>
        <v>6861430</v>
      </c>
      <c r="F126" s="18">
        <v>44320</v>
      </c>
      <c r="G126" s="11">
        <v>5070702</v>
      </c>
      <c r="H126" s="11">
        <v>2266185</v>
      </c>
      <c r="I126" s="11">
        <v>143760</v>
      </c>
      <c r="J126" s="11"/>
      <c r="K126" s="7">
        <f t="shared" si="18"/>
        <v>7480647</v>
      </c>
      <c r="M126" s="6">
        <v>44684</v>
      </c>
      <c r="N126" s="5">
        <v>5078053</v>
      </c>
      <c r="O126" s="5">
        <v>3014950</v>
      </c>
      <c r="P126" s="5">
        <v>562030</v>
      </c>
      <c r="Q126" s="5">
        <f t="shared" si="19"/>
        <v>8655033</v>
      </c>
      <c r="R126" s="5">
        <v>177710</v>
      </c>
      <c r="S126" s="5">
        <f t="shared" si="20"/>
        <v>8832743</v>
      </c>
      <c r="U126" s="6">
        <v>45048</v>
      </c>
      <c r="V126" s="8">
        <v>10757076</v>
      </c>
      <c r="W126" s="8">
        <v>3763480</v>
      </c>
      <c r="X126" s="8">
        <v>348000</v>
      </c>
      <c r="Y126" s="5">
        <f t="shared" si="22"/>
        <v>14868556</v>
      </c>
      <c r="Z126" s="5"/>
      <c r="AA126" s="8">
        <v>43210</v>
      </c>
      <c r="AB126" s="5">
        <f t="shared" si="23"/>
        <v>14911766</v>
      </c>
      <c r="AD126" s="6">
        <v>45413</v>
      </c>
      <c r="AE126" s="8">
        <v>1973181</v>
      </c>
      <c r="AF126" s="8">
        <v>690960</v>
      </c>
      <c r="AG126" s="8">
        <v>171710</v>
      </c>
      <c r="AH126" s="5">
        <f t="shared" si="16"/>
        <v>2835851</v>
      </c>
      <c r="AI126" s="5">
        <v>2558660</v>
      </c>
      <c r="AJ126" s="8">
        <v>0</v>
      </c>
      <c r="AK126" s="5">
        <f t="shared" si="26"/>
        <v>5394511</v>
      </c>
      <c r="AM126" s="6">
        <v>45779</v>
      </c>
      <c r="AN126" s="8">
        <v>13522843</v>
      </c>
      <c r="AO126" s="8">
        <v>1469970</v>
      </c>
      <c r="AP126" s="8">
        <v>255740</v>
      </c>
      <c r="AQ126" s="5">
        <f t="shared" si="31"/>
        <v>15248553</v>
      </c>
      <c r="AR126" s="5">
        <v>501170</v>
      </c>
      <c r="AS126" s="5"/>
      <c r="AT126" s="8">
        <f t="shared" si="24"/>
        <v>501170</v>
      </c>
      <c r="AU126" s="5"/>
      <c r="AV126" s="5">
        <f t="shared" si="32"/>
        <v>15749723</v>
      </c>
      <c r="AX126" s="6">
        <v>46145</v>
      </c>
      <c r="AY126" s="8">
        <v>2914070</v>
      </c>
      <c r="AZ126" s="8">
        <v>488710</v>
      </c>
      <c r="BA126" s="8">
        <v>113240</v>
      </c>
      <c r="BB126" s="5">
        <f t="shared" si="29"/>
        <v>3516020</v>
      </c>
      <c r="BC126" s="5">
        <v>932800</v>
      </c>
      <c r="BD126" s="5">
        <v>124700</v>
      </c>
      <c r="BE126" s="8">
        <f t="shared" si="25"/>
        <v>1057500</v>
      </c>
      <c r="BF126" s="5">
        <v>87500</v>
      </c>
      <c r="BG126" s="5">
        <f t="shared" si="21"/>
        <v>4661020</v>
      </c>
    </row>
    <row r="127" spans="1:59">
      <c r="A127" s="6">
        <v>43957</v>
      </c>
      <c r="B127" s="11">
        <v>6138328</v>
      </c>
      <c r="C127" s="11">
        <v>3464630</v>
      </c>
      <c r="D127" s="11">
        <f t="shared" si="17"/>
        <v>9602958</v>
      </c>
      <c r="F127" s="18">
        <v>44321</v>
      </c>
      <c r="G127" s="11">
        <v>4038040</v>
      </c>
      <c r="H127" s="11">
        <v>1321930</v>
      </c>
      <c r="I127" s="11">
        <v>421190</v>
      </c>
      <c r="J127" s="11"/>
      <c r="K127" s="7">
        <f t="shared" si="18"/>
        <v>5781160</v>
      </c>
      <c r="M127" s="6">
        <v>44685</v>
      </c>
      <c r="N127" s="5">
        <v>9357631</v>
      </c>
      <c r="O127" s="5">
        <v>4052805</v>
      </c>
      <c r="P127" s="5">
        <v>452780</v>
      </c>
      <c r="Q127" s="5">
        <f t="shared" si="19"/>
        <v>13863216</v>
      </c>
      <c r="R127" s="5">
        <v>144110</v>
      </c>
      <c r="S127" s="5">
        <f t="shared" si="20"/>
        <v>14007326</v>
      </c>
      <c r="U127" s="6">
        <v>45049</v>
      </c>
      <c r="V127" s="8">
        <v>7758916</v>
      </c>
      <c r="W127" s="8">
        <v>2882782</v>
      </c>
      <c r="X127" s="8">
        <v>686870</v>
      </c>
      <c r="Y127" s="5">
        <f t="shared" si="22"/>
        <v>11328568</v>
      </c>
      <c r="Z127" s="5"/>
      <c r="AA127" s="8">
        <v>0</v>
      </c>
      <c r="AB127" s="5">
        <f t="shared" si="23"/>
        <v>11328568</v>
      </c>
      <c r="AD127" s="6">
        <v>45414</v>
      </c>
      <c r="AE127" s="8">
        <v>15136388</v>
      </c>
      <c r="AF127" s="8">
        <v>2577650</v>
      </c>
      <c r="AG127" s="8">
        <v>416270</v>
      </c>
      <c r="AH127" s="5">
        <f t="shared" si="16"/>
        <v>18130308</v>
      </c>
      <c r="AI127" s="5">
        <v>3643380</v>
      </c>
      <c r="AJ127" s="8">
        <v>0</v>
      </c>
      <c r="AK127" s="5">
        <f t="shared" si="26"/>
        <v>21773688</v>
      </c>
      <c r="AM127" s="6">
        <v>45780</v>
      </c>
      <c r="AN127" s="8">
        <v>283489</v>
      </c>
      <c r="AO127" s="8">
        <v>262920</v>
      </c>
      <c r="AP127" s="8">
        <v>112540</v>
      </c>
      <c r="AQ127" s="5">
        <f t="shared" si="31"/>
        <v>658949</v>
      </c>
      <c r="AR127" s="5">
        <v>214540</v>
      </c>
      <c r="AS127" s="5"/>
      <c r="AT127" s="8">
        <f t="shared" si="24"/>
        <v>214540</v>
      </c>
      <c r="AU127" s="5"/>
      <c r="AV127" s="5">
        <f t="shared" si="32"/>
        <v>873489</v>
      </c>
      <c r="AX127" s="6">
        <v>46146</v>
      </c>
      <c r="AY127" s="8">
        <v>3565360</v>
      </c>
      <c r="AZ127" s="8">
        <v>965110</v>
      </c>
      <c r="BA127" s="8">
        <v>172950</v>
      </c>
      <c r="BB127" s="5">
        <f t="shared" si="29"/>
        <v>4703420</v>
      </c>
      <c r="BC127" s="5">
        <v>1069300</v>
      </c>
      <c r="BD127" s="5">
        <v>301280</v>
      </c>
      <c r="BE127" s="8">
        <f t="shared" si="25"/>
        <v>1370580</v>
      </c>
      <c r="BF127" s="5">
        <v>103500</v>
      </c>
      <c r="BG127" s="5">
        <f t="shared" si="21"/>
        <v>6177500</v>
      </c>
    </row>
    <row r="128" spans="1:59">
      <c r="A128" s="6">
        <v>43958</v>
      </c>
      <c r="B128" s="11">
        <v>8134783</v>
      </c>
      <c r="C128" s="11">
        <v>5699460</v>
      </c>
      <c r="D128" s="11">
        <f t="shared" si="17"/>
        <v>13834243</v>
      </c>
      <c r="F128" s="18">
        <v>44322</v>
      </c>
      <c r="G128" s="11">
        <v>6056998</v>
      </c>
      <c r="H128" s="11">
        <v>2532030</v>
      </c>
      <c r="I128" s="11">
        <v>450210</v>
      </c>
      <c r="J128" s="11"/>
      <c r="K128" s="7">
        <f t="shared" si="18"/>
        <v>9039238</v>
      </c>
      <c r="M128" s="6">
        <v>44686</v>
      </c>
      <c r="N128" s="5">
        <v>3152295</v>
      </c>
      <c r="O128" s="5">
        <v>1373670</v>
      </c>
      <c r="P128" s="5">
        <v>384510</v>
      </c>
      <c r="Q128" s="5">
        <f t="shared" si="19"/>
        <v>4910475</v>
      </c>
      <c r="R128" s="5">
        <v>51410</v>
      </c>
      <c r="S128" s="5">
        <f t="shared" si="20"/>
        <v>4961885</v>
      </c>
      <c r="U128" s="6">
        <v>45050</v>
      </c>
      <c r="V128" s="8">
        <v>4262789</v>
      </c>
      <c r="W128" s="8">
        <v>1583550</v>
      </c>
      <c r="X128" s="8">
        <v>173780</v>
      </c>
      <c r="Y128" s="5">
        <f t="shared" si="22"/>
        <v>6020119</v>
      </c>
      <c r="Z128" s="5"/>
      <c r="AA128" s="8">
        <v>42210</v>
      </c>
      <c r="AB128" s="5">
        <f t="shared" si="23"/>
        <v>6062329</v>
      </c>
      <c r="AD128" s="6">
        <v>45415</v>
      </c>
      <c r="AE128" s="8">
        <v>10998732</v>
      </c>
      <c r="AF128" s="8">
        <v>2150680</v>
      </c>
      <c r="AG128" s="8">
        <v>321770</v>
      </c>
      <c r="AH128" s="5">
        <f t="shared" si="16"/>
        <v>13471182</v>
      </c>
      <c r="AI128" s="5">
        <v>2088120</v>
      </c>
      <c r="AJ128" s="8">
        <v>0</v>
      </c>
      <c r="AK128" s="5">
        <f t="shared" si="26"/>
        <v>15559302</v>
      </c>
      <c r="AM128" s="6">
        <v>45781</v>
      </c>
      <c r="AN128" s="8">
        <v>1846353</v>
      </c>
      <c r="AO128" s="8">
        <v>732000</v>
      </c>
      <c r="AP128" s="8">
        <v>10000</v>
      </c>
      <c r="AQ128" s="5">
        <f t="shared" si="31"/>
        <v>2588353</v>
      </c>
      <c r="AR128" s="5">
        <v>272630</v>
      </c>
      <c r="AS128" s="5"/>
      <c r="AT128" s="8">
        <f t="shared" si="24"/>
        <v>272630</v>
      </c>
      <c r="AU128" s="5"/>
      <c r="AV128" s="5">
        <f t="shared" si="32"/>
        <v>2860983</v>
      </c>
      <c r="AX128" s="6">
        <v>46147</v>
      </c>
      <c r="AY128" s="8">
        <v>3386950</v>
      </c>
      <c r="AZ128" s="8">
        <v>707070</v>
      </c>
      <c r="BA128" s="8">
        <v>81750</v>
      </c>
      <c r="BB128" s="5">
        <f t="shared" si="29"/>
        <v>4175770</v>
      </c>
      <c r="BC128" s="5">
        <v>396470</v>
      </c>
      <c r="BD128" s="5">
        <v>263700</v>
      </c>
      <c r="BE128" s="8">
        <f t="shared" si="25"/>
        <v>660170</v>
      </c>
      <c r="BF128" s="5">
        <v>245250</v>
      </c>
      <c r="BG128" s="5">
        <f t="shared" si="21"/>
        <v>5081190</v>
      </c>
    </row>
    <row r="129" spans="1:59">
      <c r="A129" s="6">
        <v>43959</v>
      </c>
      <c r="B129" s="11">
        <v>4484627</v>
      </c>
      <c r="C129" s="11">
        <v>3485150</v>
      </c>
      <c r="D129" s="11">
        <f t="shared" si="17"/>
        <v>7969777</v>
      </c>
      <c r="F129" s="18">
        <v>44323</v>
      </c>
      <c r="G129" s="11">
        <v>3854344</v>
      </c>
      <c r="H129" s="11">
        <v>1961720</v>
      </c>
      <c r="I129" s="11">
        <v>472150</v>
      </c>
      <c r="J129" s="11"/>
      <c r="K129" s="7">
        <f t="shared" si="18"/>
        <v>6288214</v>
      </c>
      <c r="M129" s="6">
        <v>44687</v>
      </c>
      <c r="N129" s="5">
        <v>5959414</v>
      </c>
      <c r="O129" s="5">
        <v>2561865</v>
      </c>
      <c r="P129" s="5">
        <v>358700</v>
      </c>
      <c r="Q129" s="5">
        <f t="shared" si="19"/>
        <v>8879979</v>
      </c>
      <c r="R129" s="5">
        <v>0</v>
      </c>
      <c r="S129" s="5">
        <f t="shared" si="20"/>
        <v>8879979</v>
      </c>
      <c r="U129" s="6">
        <v>45051</v>
      </c>
      <c r="V129" s="8">
        <v>2429316</v>
      </c>
      <c r="W129" s="8">
        <v>969357</v>
      </c>
      <c r="X129" s="8">
        <v>594170</v>
      </c>
      <c r="Y129" s="5">
        <f t="shared" si="22"/>
        <v>3992843</v>
      </c>
      <c r="Z129" s="5"/>
      <c r="AA129" s="8">
        <v>0</v>
      </c>
      <c r="AB129" s="5">
        <f t="shared" si="23"/>
        <v>3992843</v>
      </c>
      <c r="AD129" s="6">
        <v>45416</v>
      </c>
      <c r="AE129" s="8">
        <v>3112850</v>
      </c>
      <c r="AF129" s="8">
        <v>498330</v>
      </c>
      <c r="AG129" s="8">
        <v>158490</v>
      </c>
      <c r="AH129" s="5">
        <f t="shared" ref="AH129:AH131" si="33">SUM(AE129:AG129)</f>
        <v>3769670</v>
      </c>
      <c r="AI129" s="5">
        <v>1266900</v>
      </c>
      <c r="AJ129" s="8">
        <v>0</v>
      </c>
      <c r="AK129" s="5">
        <f t="shared" si="26"/>
        <v>5036570</v>
      </c>
      <c r="AM129" s="6">
        <v>45782</v>
      </c>
      <c r="AN129" s="8">
        <v>2374295</v>
      </c>
      <c r="AO129" s="8">
        <v>580080</v>
      </c>
      <c r="AP129" s="8">
        <v>87420</v>
      </c>
      <c r="AQ129" s="5">
        <f t="shared" si="31"/>
        <v>3041795</v>
      </c>
      <c r="AR129" s="5">
        <v>896840</v>
      </c>
      <c r="AS129" s="5"/>
      <c r="AT129" s="8">
        <f t="shared" si="24"/>
        <v>896840</v>
      </c>
      <c r="AU129" s="5"/>
      <c r="AV129" s="5">
        <f t="shared" si="32"/>
        <v>3938635</v>
      </c>
      <c r="AX129" s="6">
        <v>46148</v>
      </c>
      <c r="AY129" s="8">
        <v>0</v>
      </c>
      <c r="AZ129" s="8">
        <v>0</v>
      </c>
      <c r="BA129" s="8">
        <v>182574500</v>
      </c>
      <c r="BB129" s="5">
        <f t="shared" si="29"/>
        <v>182574500</v>
      </c>
      <c r="BC129" s="5">
        <v>797750</v>
      </c>
      <c r="BD129" s="5">
        <v>230800</v>
      </c>
      <c r="BE129" s="8">
        <f t="shared" si="25"/>
        <v>1028550</v>
      </c>
      <c r="BF129" s="5">
        <v>191000</v>
      </c>
      <c r="BG129" s="5">
        <f t="shared" si="21"/>
        <v>183794050</v>
      </c>
    </row>
    <row r="130" spans="1:59">
      <c r="A130" s="6">
        <v>43960</v>
      </c>
      <c r="B130" s="11">
        <v>3809857</v>
      </c>
      <c r="C130" s="11">
        <v>2596670</v>
      </c>
      <c r="D130" s="11">
        <f t="shared" si="17"/>
        <v>6406527</v>
      </c>
      <c r="F130" s="18">
        <v>44324</v>
      </c>
      <c r="G130" s="11">
        <v>3383531</v>
      </c>
      <c r="H130" s="11">
        <v>1704530</v>
      </c>
      <c r="I130" s="11">
        <v>388180</v>
      </c>
      <c r="J130" s="11"/>
      <c r="K130" s="7">
        <f t="shared" si="18"/>
        <v>5476241</v>
      </c>
      <c r="M130" s="6">
        <v>44688</v>
      </c>
      <c r="N130" s="5">
        <v>1752145</v>
      </c>
      <c r="O130" s="5">
        <v>1059230</v>
      </c>
      <c r="P130" s="5">
        <v>67940</v>
      </c>
      <c r="Q130" s="5">
        <f t="shared" si="19"/>
        <v>2879315</v>
      </c>
      <c r="R130" s="5">
        <v>0</v>
      </c>
      <c r="S130" s="5">
        <f t="shared" si="20"/>
        <v>2879315</v>
      </c>
      <c r="U130" s="6">
        <v>45052</v>
      </c>
      <c r="V130" s="8">
        <v>2605338</v>
      </c>
      <c r="W130" s="8">
        <v>1107300</v>
      </c>
      <c r="X130" s="8">
        <v>303630</v>
      </c>
      <c r="Y130" s="5">
        <f t="shared" si="22"/>
        <v>4016268</v>
      </c>
      <c r="Z130" s="5"/>
      <c r="AA130" s="8">
        <v>0</v>
      </c>
      <c r="AB130" s="5">
        <f t="shared" si="23"/>
        <v>4016268</v>
      </c>
      <c r="AD130" s="6">
        <v>45417</v>
      </c>
      <c r="AE130" s="8">
        <v>1733482</v>
      </c>
      <c r="AF130" s="8">
        <v>939500</v>
      </c>
      <c r="AG130" s="8">
        <v>224140</v>
      </c>
      <c r="AH130" s="5">
        <f t="shared" si="33"/>
        <v>2897122</v>
      </c>
      <c r="AI130" s="5">
        <v>1502840</v>
      </c>
      <c r="AJ130" s="8">
        <v>20400</v>
      </c>
      <c r="AK130" s="5">
        <f t="shared" si="26"/>
        <v>4420362</v>
      </c>
      <c r="AM130" s="6">
        <v>45783</v>
      </c>
      <c r="AN130" s="8">
        <v>1820126</v>
      </c>
      <c r="AO130" s="8">
        <v>517900</v>
      </c>
      <c r="AP130" s="8">
        <v>0</v>
      </c>
      <c r="AQ130" s="5">
        <f t="shared" si="31"/>
        <v>2338026</v>
      </c>
      <c r="AR130" s="5">
        <v>524820</v>
      </c>
      <c r="AS130" s="5"/>
      <c r="AT130" s="8">
        <f t="shared" si="24"/>
        <v>524820</v>
      </c>
      <c r="AU130" s="5"/>
      <c r="AV130" s="5">
        <f t="shared" si="32"/>
        <v>2862846</v>
      </c>
      <c r="AX130" s="6">
        <v>46149</v>
      </c>
      <c r="AY130" s="8">
        <v>0</v>
      </c>
      <c r="AZ130" s="8">
        <v>0</v>
      </c>
      <c r="BA130" s="8">
        <v>14270600</v>
      </c>
      <c r="BB130" s="5">
        <f t="shared" si="29"/>
        <v>14270600</v>
      </c>
      <c r="BC130" s="5">
        <v>655620</v>
      </c>
      <c r="BD130" s="5">
        <v>371900</v>
      </c>
      <c r="BE130" s="8">
        <f t="shared" si="25"/>
        <v>1027520</v>
      </c>
      <c r="BF130" s="5">
        <v>319960</v>
      </c>
      <c r="BG130" s="5">
        <f t="shared" si="21"/>
        <v>15618080</v>
      </c>
    </row>
    <row r="131" spans="1:59">
      <c r="A131" s="6">
        <v>43961</v>
      </c>
      <c r="B131" s="11">
        <v>4962799</v>
      </c>
      <c r="C131" s="11">
        <v>2776270</v>
      </c>
      <c r="D131" s="11">
        <f t="shared" si="17"/>
        <v>7739069</v>
      </c>
      <c r="F131" s="18">
        <v>44325</v>
      </c>
      <c r="G131" s="11">
        <v>3264869</v>
      </c>
      <c r="H131" s="11">
        <v>1772240</v>
      </c>
      <c r="I131" s="11">
        <v>455460</v>
      </c>
      <c r="J131" s="11"/>
      <c r="K131" s="7">
        <f t="shared" si="18"/>
        <v>5492569</v>
      </c>
      <c r="M131" s="6">
        <v>44689</v>
      </c>
      <c r="N131" s="5">
        <v>5570725</v>
      </c>
      <c r="O131" s="5">
        <v>2219960</v>
      </c>
      <c r="P131" s="5">
        <v>165380</v>
      </c>
      <c r="Q131" s="5">
        <f t="shared" si="19"/>
        <v>7956065</v>
      </c>
      <c r="R131" s="5">
        <v>69110</v>
      </c>
      <c r="S131" s="5">
        <f t="shared" si="20"/>
        <v>8025175</v>
      </c>
      <c r="U131" s="6">
        <v>45053</v>
      </c>
      <c r="V131" s="8">
        <v>2145142</v>
      </c>
      <c r="W131" s="8">
        <v>1374300</v>
      </c>
      <c r="X131" s="8">
        <v>486650</v>
      </c>
      <c r="Y131" s="5">
        <f t="shared" si="22"/>
        <v>4006092</v>
      </c>
      <c r="Z131" s="5"/>
      <c r="AA131" s="8">
        <v>0</v>
      </c>
      <c r="AB131" s="5">
        <f t="shared" si="23"/>
        <v>4006092</v>
      </c>
      <c r="AD131" s="6">
        <v>45418</v>
      </c>
      <c r="AE131" s="8">
        <v>1099805</v>
      </c>
      <c r="AF131" s="8">
        <v>374420</v>
      </c>
      <c r="AG131" s="8">
        <v>491660</v>
      </c>
      <c r="AH131" s="5">
        <f t="shared" si="33"/>
        <v>1965885</v>
      </c>
      <c r="AI131" s="5">
        <v>3175020</v>
      </c>
      <c r="AJ131" s="8">
        <v>0</v>
      </c>
      <c r="AK131" s="5">
        <f t="shared" si="26"/>
        <v>5140905</v>
      </c>
      <c r="AM131" s="6">
        <v>45784</v>
      </c>
      <c r="AN131" s="8">
        <v>11938549</v>
      </c>
      <c r="AO131" s="8">
        <v>1490740</v>
      </c>
      <c r="AP131" s="8">
        <v>522480</v>
      </c>
      <c r="AQ131" s="5">
        <f t="shared" si="31"/>
        <v>13951769</v>
      </c>
      <c r="AR131" s="5">
        <v>6291020</v>
      </c>
      <c r="AS131" s="5"/>
      <c r="AT131" s="8">
        <f t="shared" si="24"/>
        <v>6291020</v>
      </c>
      <c r="AU131" s="5"/>
      <c r="AV131" s="5">
        <f t="shared" si="32"/>
        <v>20242789</v>
      </c>
      <c r="AX131" s="6">
        <v>46150</v>
      </c>
      <c r="AY131" s="8">
        <v>0</v>
      </c>
      <c r="AZ131" s="8">
        <v>0</v>
      </c>
      <c r="BA131" s="8">
        <v>16837550</v>
      </c>
      <c r="BB131" s="5">
        <f t="shared" si="29"/>
        <v>16837550</v>
      </c>
      <c r="BC131" s="5">
        <v>390820</v>
      </c>
      <c r="BD131" s="5">
        <v>230980</v>
      </c>
      <c r="BE131" s="8">
        <f t="shared" si="25"/>
        <v>621800</v>
      </c>
      <c r="BF131" s="5">
        <v>112260</v>
      </c>
      <c r="BG131" s="5">
        <f t="shared" si="21"/>
        <v>17571610</v>
      </c>
    </row>
    <row r="132" spans="1:59">
      <c r="A132" s="6">
        <v>43962</v>
      </c>
      <c r="B132" s="11">
        <v>6632942</v>
      </c>
      <c r="C132" s="11">
        <v>4666940</v>
      </c>
      <c r="D132" s="11">
        <f t="shared" ref="D132:D195" si="34">SUM(B132:C132)</f>
        <v>11299882</v>
      </c>
      <c r="F132" s="18">
        <v>44326</v>
      </c>
      <c r="G132" s="11">
        <v>6661338</v>
      </c>
      <c r="H132" s="11">
        <v>3065900</v>
      </c>
      <c r="I132" s="11">
        <v>803830</v>
      </c>
      <c r="J132" s="11"/>
      <c r="K132" s="7">
        <f t="shared" ref="K132:K195" si="35">SUM(G132:I132)</f>
        <v>10531068</v>
      </c>
      <c r="M132" s="6">
        <v>44690</v>
      </c>
      <c r="N132" s="5">
        <v>7438239</v>
      </c>
      <c r="O132" s="5">
        <v>3039730</v>
      </c>
      <c r="P132" s="5">
        <v>257820</v>
      </c>
      <c r="Q132" s="5">
        <f t="shared" si="19"/>
        <v>10735789</v>
      </c>
      <c r="R132" s="5">
        <v>90900</v>
      </c>
      <c r="S132" s="5">
        <f t="shared" si="20"/>
        <v>10826689</v>
      </c>
      <c r="U132" s="6">
        <v>45054</v>
      </c>
      <c r="V132" s="8">
        <v>6755179</v>
      </c>
      <c r="W132" s="8">
        <v>4226530</v>
      </c>
      <c r="X132" s="8">
        <v>575880</v>
      </c>
      <c r="Y132" s="5">
        <f t="shared" si="22"/>
        <v>11557589</v>
      </c>
      <c r="Z132" s="5"/>
      <c r="AA132" s="8">
        <v>29800</v>
      </c>
      <c r="AB132" s="5">
        <f t="shared" si="23"/>
        <v>11587389</v>
      </c>
      <c r="AD132" s="6">
        <v>45419</v>
      </c>
      <c r="AE132" s="8">
        <v>10594202</v>
      </c>
      <c r="AF132" s="8">
        <v>2297440</v>
      </c>
      <c r="AG132" s="8">
        <v>443230</v>
      </c>
      <c r="AH132" s="5">
        <f>SUM(AE132:AG132)</f>
        <v>13334872</v>
      </c>
      <c r="AI132" s="5">
        <v>2807140</v>
      </c>
      <c r="AJ132" s="8">
        <v>11500</v>
      </c>
      <c r="AK132" s="5">
        <f>AH132+AJ132+AI132</f>
        <v>16153512</v>
      </c>
      <c r="AM132" s="6">
        <v>45785</v>
      </c>
      <c r="AN132" s="8">
        <v>16282046</v>
      </c>
      <c r="AO132" s="8">
        <v>3760280</v>
      </c>
      <c r="AP132" s="8">
        <v>223350</v>
      </c>
      <c r="AQ132" s="5">
        <f t="shared" si="31"/>
        <v>20265676</v>
      </c>
      <c r="AR132" s="5">
        <v>4654232</v>
      </c>
      <c r="AS132" s="5"/>
      <c r="AT132" s="8">
        <f t="shared" si="24"/>
        <v>4654232</v>
      </c>
      <c r="AU132" s="5"/>
      <c r="AV132" s="5">
        <f t="shared" si="32"/>
        <v>24919908</v>
      </c>
      <c r="AX132" s="6">
        <v>46151</v>
      </c>
      <c r="AY132" s="8">
        <v>0</v>
      </c>
      <c r="AZ132" s="8">
        <v>0</v>
      </c>
      <c r="BA132" s="8">
        <v>5940950</v>
      </c>
      <c r="BB132" s="5">
        <f t="shared" si="29"/>
        <v>5940950</v>
      </c>
      <c r="BC132" s="5">
        <v>807300</v>
      </c>
      <c r="BD132" s="5">
        <v>187400</v>
      </c>
      <c r="BE132" s="8">
        <f t="shared" si="25"/>
        <v>994700</v>
      </c>
      <c r="BF132" s="5">
        <v>62500</v>
      </c>
      <c r="BG132" s="5">
        <f t="shared" ref="BG132:BG154" si="36">BB132+BE132+BF132</f>
        <v>6998150</v>
      </c>
    </row>
    <row r="133" spans="1:59">
      <c r="A133" s="6">
        <v>43963</v>
      </c>
      <c r="B133" s="11">
        <v>11667678</v>
      </c>
      <c r="C133" s="11">
        <v>5490355</v>
      </c>
      <c r="D133" s="11">
        <f t="shared" si="34"/>
        <v>17158033</v>
      </c>
      <c r="F133" s="18">
        <v>44327</v>
      </c>
      <c r="G133" s="11">
        <v>9297020</v>
      </c>
      <c r="H133" s="11">
        <v>2836840</v>
      </c>
      <c r="I133" s="11">
        <v>568580</v>
      </c>
      <c r="J133" s="11"/>
      <c r="K133" s="7">
        <f t="shared" si="35"/>
        <v>12702440</v>
      </c>
      <c r="M133" s="6">
        <v>44691</v>
      </c>
      <c r="N133" s="5">
        <v>11237968</v>
      </c>
      <c r="O133" s="5">
        <v>4308596</v>
      </c>
      <c r="P133" s="5">
        <v>277080</v>
      </c>
      <c r="Q133" s="5">
        <f t="shared" si="19"/>
        <v>15823644</v>
      </c>
      <c r="R133" s="5">
        <v>159930</v>
      </c>
      <c r="S133" s="5">
        <f t="shared" si="20"/>
        <v>15983574</v>
      </c>
      <c r="U133" s="6">
        <v>45055</v>
      </c>
      <c r="V133" s="8">
        <v>8263548</v>
      </c>
      <c r="W133" s="8">
        <v>3121690</v>
      </c>
      <c r="X133" s="8">
        <v>775200</v>
      </c>
      <c r="Y133" s="5">
        <f t="shared" ref="Y133:Y196" si="37">SUM(V133:X133)</f>
        <v>12160438</v>
      </c>
      <c r="Z133" s="5"/>
      <c r="AA133" s="8">
        <v>67720</v>
      </c>
      <c r="AB133" s="5">
        <f t="shared" ref="AB133:AB193" si="38">Y133+AA133</f>
        <v>12228158</v>
      </c>
      <c r="AD133" s="6">
        <v>45420</v>
      </c>
      <c r="AE133" s="8">
        <v>11280935</v>
      </c>
      <c r="AF133" s="8">
        <v>1910520</v>
      </c>
      <c r="AG133" s="8">
        <v>141880</v>
      </c>
      <c r="AH133" s="5">
        <f>SUM(AE133:AG133)</f>
        <v>13333335</v>
      </c>
      <c r="AI133" s="5">
        <v>1814220</v>
      </c>
      <c r="AJ133" s="8">
        <v>20400</v>
      </c>
      <c r="AK133" s="5">
        <f>AH133+AJ133+AI133</f>
        <v>15167955</v>
      </c>
      <c r="AM133" s="6">
        <v>45786</v>
      </c>
      <c r="AN133" s="8">
        <v>12251941</v>
      </c>
      <c r="AO133" s="8">
        <v>2891560</v>
      </c>
      <c r="AP133" s="8">
        <v>77560</v>
      </c>
      <c r="AQ133" s="5">
        <f t="shared" si="31"/>
        <v>15221061</v>
      </c>
      <c r="AR133" s="5">
        <v>2025760</v>
      </c>
      <c r="AS133" s="5"/>
      <c r="AT133" s="8">
        <f t="shared" ref="AT133:AT196" si="39">AR133+AS133</f>
        <v>2025760</v>
      </c>
      <c r="AU133" s="5"/>
      <c r="AV133" s="5">
        <f t="shared" si="32"/>
        <v>17246821</v>
      </c>
      <c r="AX133" s="6">
        <v>46152</v>
      </c>
      <c r="AY133" s="8">
        <v>3002020</v>
      </c>
      <c r="AZ133" s="8">
        <v>0</v>
      </c>
      <c r="BA133" s="8">
        <v>304700</v>
      </c>
      <c r="BB133" s="5">
        <f t="shared" si="29"/>
        <v>3306720</v>
      </c>
      <c r="BC133" s="5">
        <v>684830</v>
      </c>
      <c r="BD133" s="5">
        <v>260880</v>
      </c>
      <c r="BE133" s="8">
        <f t="shared" si="25"/>
        <v>945710</v>
      </c>
      <c r="BF133" s="5">
        <v>167000</v>
      </c>
      <c r="BG133" s="5">
        <f t="shared" si="36"/>
        <v>4419430</v>
      </c>
    </row>
    <row r="134" spans="1:59">
      <c r="A134" s="6">
        <v>43964</v>
      </c>
      <c r="B134" s="11">
        <v>12063525</v>
      </c>
      <c r="C134" s="11">
        <v>6346140</v>
      </c>
      <c r="D134" s="11">
        <f t="shared" si="34"/>
        <v>18409665</v>
      </c>
      <c r="F134" s="18">
        <v>44328</v>
      </c>
      <c r="G134" s="11">
        <v>10102999</v>
      </c>
      <c r="H134" s="11">
        <v>2178840</v>
      </c>
      <c r="I134" s="11">
        <v>665560</v>
      </c>
      <c r="J134" s="11"/>
      <c r="K134" s="7">
        <f t="shared" si="35"/>
        <v>12947399</v>
      </c>
      <c r="M134" s="6">
        <v>44692</v>
      </c>
      <c r="N134" s="5">
        <v>9783682</v>
      </c>
      <c r="O134" s="5">
        <v>3233250</v>
      </c>
      <c r="P134" s="5">
        <v>592370</v>
      </c>
      <c r="Q134" s="5">
        <f t="shared" si="19"/>
        <v>13609302</v>
      </c>
      <c r="R134" s="5">
        <v>122330</v>
      </c>
      <c r="S134" s="5">
        <f t="shared" si="20"/>
        <v>13731632</v>
      </c>
      <c r="U134" s="6">
        <v>45056</v>
      </c>
      <c r="V134" s="8">
        <v>8543118</v>
      </c>
      <c r="W134" s="8">
        <v>2706060</v>
      </c>
      <c r="X134" s="8">
        <v>685140</v>
      </c>
      <c r="Y134" s="5">
        <f t="shared" si="37"/>
        <v>11934318</v>
      </c>
      <c r="Z134" s="5"/>
      <c r="AA134" s="8">
        <v>0</v>
      </c>
      <c r="AB134" s="5">
        <f t="shared" si="38"/>
        <v>11934318</v>
      </c>
      <c r="AD134" s="6">
        <v>45421</v>
      </c>
      <c r="AE134" s="8">
        <v>10268091</v>
      </c>
      <c r="AF134" s="8">
        <v>1754770</v>
      </c>
      <c r="AG134" s="8">
        <v>324700</v>
      </c>
      <c r="AH134" s="5">
        <f>SUM(AE134:AG134)</f>
        <v>12347561</v>
      </c>
      <c r="AI134" s="5">
        <v>1830220</v>
      </c>
      <c r="AJ134" s="8">
        <v>0</v>
      </c>
      <c r="AK134" s="5">
        <f>AH134+AJ134+AI134</f>
        <v>14177781</v>
      </c>
      <c r="AM134" s="6">
        <v>45787</v>
      </c>
      <c r="AN134" s="8">
        <v>2100936</v>
      </c>
      <c r="AO134" s="8">
        <v>1235980</v>
      </c>
      <c r="AP134" s="8">
        <v>162330</v>
      </c>
      <c r="AQ134" s="5">
        <f t="shared" si="31"/>
        <v>3499246</v>
      </c>
      <c r="AR134" s="5">
        <v>1017740</v>
      </c>
      <c r="AS134" s="5"/>
      <c r="AT134" s="8">
        <f t="shared" si="39"/>
        <v>1017740</v>
      </c>
      <c r="AU134" s="5"/>
      <c r="AV134" s="5">
        <f t="shared" si="32"/>
        <v>4516986</v>
      </c>
      <c r="AX134" s="6">
        <v>46153</v>
      </c>
      <c r="AY134" s="8">
        <v>2744650</v>
      </c>
      <c r="AZ134" s="8">
        <v>0</v>
      </c>
      <c r="BA134" s="8">
        <v>0</v>
      </c>
      <c r="BB134" s="5">
        <f t="shared" si="29"/>
        <v>2744650</v>
      </c>
      <c r="BC134" s="5">
        <v>8103370</v>
      </c>
      <c r="BD134" s="5">
        <v>179000</v>
      </c>
      <c r="BE134" s="8">
        <f t="shared" si="25"/>
        <v>8282370</v>
      </c>
      <c r="BF134" s="5">
        <v>163500</v>
      </c>
      <c r="BG134" s="5">
        <f t="shared" si="36"/>
        <v>11190520</v>
      </c>
    </row>
    <row r="135" spans="1:59">
      <c r="A135" s="6">
        <v>43965</v>
      </c>
      <c r="B135" s="11">
        <v>10968320</v>
      </c>
      <c r="C135" s="11">
        <v>5050993</v>
      </c>
      <c r="D135" s="11">
        <f t="shared" si="34"/>
        <v>16019313</v>
      </c>
      <c r="F135" s="18">
        <v>44329</v>
      </c>
      <c r="G135" s="11">
        <v>15402083</v>
      </c>
      <c r="H135" s="11">
        <v>3256465</v>
      </c>
      <c r="I135" s="11">
        <v>422880</v>
      </c>
      <c r="J135" s="11"/>
      <c r="K135" s="7">
        <f t="shared" si="35"/>
        <v>19081428</v>
      </c>
      <c r="M135" s="6">
        <v>44693</v>
      </c>
      <c r="N135" s="5">
        <v>8789424</v>
      </c>
      <c r="O135" s="5">
        <v>3859995</v>
      </c>
      <c r="P135" s="5">
        <v>79110</v>
      </c>
      <c r="Q135" s="5">
        <f t="shared" si="19"/>
        <v>12728529</v>
      </c>
      <c r="R135" s="5">
        <v>71310</v>
      </c>
      <c r="S135" s="5">
        <f t="shared" si="20"/>
        <v>12799839</v>
      </c>
      <c r="U135" s="6">
        <v>45057</v>
      </c>
      <c r="V135" s="8">
        <v>9666297</v>
      </c>
      <c r="W135" s="8">
        <v>3263670</v>
      </c>
      <c r="X135" s="8">
        <v>1150880</v>
      </c>
      <c r="Y135" s="5">
        <f t="shared" si="37"/>
        <v>14080847</v>
      </c>
      <c r="Z135" s="5"/>
      <c r="AA135" s="8">
        <v>29800</v>
      </c>
      <c r="AB135" s="5">
        <f t="shared" si="38"/>
        <v>14110647</v>
      </c>
      <c r="AD135" s="6">
        <v>45422</v>
      </c>
      <c r="AE135" s="8">
        <v>6068934</v>
      </c>
      <c r="AF135" s="8">
        <v>1057850</v>
      </c>
      <c r="AG135" s="8">
        <v>402720</v>
      </c>
      <c r="AH135" s="5">
        <f t="shared" ref="AH135:AH168" si="40">SUM(AE135:AG135)</f>
        <v>7529504</v>
      </c>
      <c r="AI135" s="5">
        <v>1788240</v>
      </c>
      <c r="AJ135" s="8">
        <v>0</v>
      </c>
      <c r="AK135" s="5">
        <f t="shared" ref="AK135:AK198" si="41">AH135+AJ135+AI135</f>
        <v>9317744</v>
      </c>
      <c r="AM135" s="6">
        <v>45788</v>
      </c>
      <c r="AN135" s="8">
        <v>7287894</v>
      </c>
      <c r="AO135" s="8">
        <v>1743260</v>
      </c>
      <c r="AP135" s="8">
        <v>202780</v>
      </c>
      <c r="AQ135" s="5">
        <f t="shared" si="31"/>
        <v>9233934</v>
      </c>
      <c r="AR135" s="5">
        <v>1812630</v>
      </c>
      <c r="AS135" s="5"/>
      <c r="AT135" s="8">
        <f t="shared" si="39"/>
        <v>1812630</v>
      </c>
      <c r="AU135" s="5"/>
      <c r="AV135" s="5">
        <f t="shared" si="32"/>
        <v>11046564</v>
      </c>
      <c r="AX135" s="6">
        <v>46154</v>
      </c>
      <c r="AY135" s="8">
        <v>2242080</v>
      </c>
      <c r="AZ135" s="8">
        <v>0</v>
      </c>
      <c r="BA135" s="8">
        <v>0</v>
      </c>
      <c r="BB135" s="5">
        <f t="shared" si="29"/>
        <v>2242080</v>
      </c>
      <c r="BC135" s="5">
        <v>3889000</v>
      </c>
      <c r="BD135" s="5">
        <v>244300</v>
      </c>
      <c r="BE135" s="8">
        <f t="shared" si="25"/>
        <v>4133300</v>
      </c>
      <c r="BF135" s="5">
        <v>356380</v>
      </c>
      <c r="BG135" s="5">
        <f t="shared" si="36"/>
        <v>6731760</v>
      </c>
    </row>
    <row r="136" spans="1:59">
      <c r="A136" s="6">
        <v>43966</v>
      </c>
      <c r="B136" s="11">
        <v>4403462</v>
      </c>
      <c r="C136" s="11">
        <v>2970560</v>
      </c>
      <c r="D136" s="11">
        <f t="shared" si="34"/>
        <v>7374022</v>
      </c>
      <c r="F136" s="18">
        <v>44330</v>
      </c>
      <c r="G136" s="11">
        <v>13574052</v>
      </c>
      <c r="H136" s="11">
        <v>430950</v>
      </c>
      <c r="I136" s="11">
        <v>811700</v>
      </c>
      <c r="J136" s="11"/>
      <c r="K136" s="7">
        <f t="shared" si="35"/>
        <v>14816702</v>
      </c>
      <c r="M136" s="6">
        <v>44694</v>
      </c>
      <c r="N136" s="5">
        <v>10396441</v>
      </c>
      <c r="O136" s="5">
        <v>1334230</v>
      </c>
      <c r="P136" s="5">
        <v>311700</v>
      </c>
      <c r="Q136" s="5">
        <f t="shared" si="19"/>
        <v>12042371</v>
      </c>
      <c r="R136" s="5">
        <v>17700</v>
      </c>
      <c r="S136" s="5">
        <f t="shared" si="20"/>
        <v>12060071</v>
      </c>
      <c r="U136" s="6">
        <v>45058</v>
      </c>
      <c r="V136" s="8">
        <v>5671318</v>
      </c>
      <c r="W136" s="8">
        <v>2473610</v>
      </c>
      <c r="X136" s="8">
        <v>1616030</v>
      </c>
      <c r="Y136" s="5">
        <f t="shared" si="37"/>
        <v>9760958</v>
      </c>
      <c r="Z136" s="5"/>
      <c r="AA136" s="8">
        <v>14900</v>
      </c>
      <c r="AB136" s="5">
        <f t="shared" si="38"/>
        <v>9775858</v>
      </c>
      <c r="AD136" s="6">
        <v>45423</v>
      </c>
      <c r="AE136" s="8">
        <v>2623483</v>
      </c>
      <c r="AF136" s="8">
        <v>767410</v>
      </c>
      <c r="AG136" s="8">
        <v>76090</v>
      </c>
      <c r="AH136" s="5">
        <f>SUM(AE136:AG136)</f>
        <v>3466983</v>
      </c>
      <c r="AI136" s="5">
        <v>1091160</v>
      </c>
      <c r="AJ136" s="8">
        <v>0</v>
      </c>
      <c r="AK136" s="5">
        <f t="shared" si="41"/>
        <v>4558143</v>
      </c>
      <c r="AM136" s="6">
        <v>45789</v>
      </c>
      <c r="AN136" s="8">
        <v>9576351</v>
      </c>
      <c r="AO136" s="8">
        <v>2464710</v>
      </c>
      <c r="AP136" s="8">
        <v>312460</v>
      </c>
      <c r="AQ136" s="5">
        <f t="shared" si="31"/>
        <v>12353521</v>
      </c>
      <c r="AR136" s="5">
        <v>2717730</v>
      </c>
      <c r="AS136" s="5"/>
      <c r="AT136" s="8">
        <f t="shared" si="39"/>
        <v>2717730</v>
      </c>
      <c r="AU136" s="5"/>
      <c r="AV136" s="5">
        <f t="shared" si="32"/>
        <v>15071251</v>
      </c>
      <c r="AX136" s="6">
        <v>46155</v>
      </c>
      <c r="AY136" s="8">
        <v>2831840</v>
      </c>
      <c r="AZ136" s="8">
        <v>0</v>
      </c>
      <c r="BA136" s="8">
        <v>197380</v>
      </c>
      <c r="BB136" s="5">
        <f t="shared" si="29"/>
        <v>3029220</v>
      </c>
      <c r="BC136" s="5">
        <v>4779895</v>
      </c>
      <c r="BD136" s="5">
        <v>306060</v>
      </c>
      <c r="BE136" s="8">
        <f t="shared" si="25"/>
        <v>5085955</v>
      </c>
      <c r="BF136" s="5">
        <v>259000</v>
      </c>
      <c r="BG136" s="5">
        <f t="shared" si="36"/>
        <v>8374175</v>
      </c>
    </row>
    <row r="137" spans="1:59">
      <c r="A137" s="6">
        <v>43967</v>
      </c>
      <c r="B137" s="11">
        <v>3892073</v>
      </c>
      <c r="C137" s="11">
        <v>2734030</v>
      </c>
      <c r="D137" s="11">
        <f t="shared" si="34"/>
        <v>6626103</v>
      </c>
      <c r="F137" s="18">
        <v>44331</v>
      </c>
      <c r="G137" s="11">
        <v>777333</v>
      </c>
      <c r="H137" s="11">
        <v>328700</v>
      </c>
      <c r="I137" s="11">
        <v>479940</v>
      </c>
      <c r="J137" s="11"/>
      <c r="K137" s="7">
        <f t="shared" si="35"/>
        <v>1585973</v>
      </c>
      <c r="M137" s="6">
        <v>44695</v>
      </c>
      <c r="N137" s="5">
        <v>4189658</v>
      </c>
      <c r="O137" s="5">
        <v>823160</v>
      </c>
      <c r="P137" s="5">
        <v>242350</v>
      </c>
      <c r="Q137" s="5">
        <f t="shared" si="19"/>
        <v>5255168</v>
      </c>
      <c r="R137" s="5">
        <v>140030</v>
      </c>
      <c r="S137" s="5">
        <f t="shared" si="20"/>
        <v>5395198</v>
      </c>
      <c r="U137" s="6">
        <v>45059</v>
      </c>
      <c r="V137" s="8">
        <v>1196861</v>
      </c>
      <c r="W137" s="8">
        <v>1012470</v>
      </c>
      <c r="X137" s="8">
        <v>1713180</v>
      </c>
      <c r="Y137" s="5">
        <f t="shared" si="37"/>
        <v>3922511</v>
      </c>
      <c r="Z137" s="5"/>
      <c r="AA137" s="8">
        <v>43210</v>
      </c>
      <c r="AB137" s="5">
        <f t="shared" si="38"/>
        <v>3965721</v>
      </c>
      <c r="AD137" s="6">
        <v>45424</v>
      </c>
      <c r="AE137" s="8">
        <v>5137016</v>
      </c>
      <c r="AF137" s="8">
        <v>1338500</v>
      </c>
      <c r="AG137" s="8">
        <v>162850</v>
      </c>
      <c r="AH137" s="5">
        <f t="shared" si="40"/>
        <v>6638366</v>
      </c>
      <c r="AI137" s="5">
        <v>1763560</v>
      </c>
      <c r="AJ137" s="8">
        <v>0</v>
      </c>
      <c r="AK137" s="5">
        <f t="shared" si="41"/>
        <v>8401926</v>
      </c>
      <c r="AM137" s="6">
        <v>45790</v>
      </c>
      <c r="AN137" s="8">
        <v>12201213</v>
      </c>
      <c r="AO137" s="8">
        <v>2921040</v>
      </c>
      <c r="AP137" s="8">
        <v>384770</v>
      </c>
      <c r="AQ137" s="5">
        <f t="shared" si="31"/>
        <v>15507023</v>
      </c>
      <c r="AR137" s="5">
        <v>2337250</v>
      </c>
      <c r="AS137" s="5"/>
      <c r="AT137" s="8">
        <f t="shared" si="39"/>
        <v>2337250</v>
      </c>
      <c r="AU137" s="5"/>
      <c r="AV137" s="5">
        <f t="shared" si="32"/>
        <v>17844273</v>
      </c>
      <c r="AX137" s="6">
        <v>46156</v>
      </c>
      <c r="AY137" s="8">
        <v>2316940</v>
      </c>
      <c r="AZ137" s="8">
        <v>0</v>
      </c>
      <c r="BA137" s="8">
        <v>29800</v>
      </c>
      <c r="BB137" s="5">
        <f t="shared" si="29"/>
        <v>2346740</v>
      </c>
      <c r="BC137" s="5">
        <v>3543920</v>
      </c>
      <c r="BD137" s="5">
        <v>149500</v>
      </c>
      <c r="BE137" s="8">
        <f t="shared" si="25"/>
        <v>3693420</v>
      </c>
      <c r="BF137" s="5">
        <v>340270</v>
      </c>
      <c r="BG137" s="5">
        <f t="shared" si="36"/>
        <v>6380430</v>
      </c>
    </row>
    <row r="138" spans="1:59">
      <c r="A138" s="6">
        <v>43968</v>
      </c>
      <c r="B138" s="11">
        <v>3822786</v>
      </c>
      <c r="C138" s="11">
        <v>3797160</v>
      </c>
      <c r="D138" s="11">
        <f t="shared" si="34"/>
        <v>7619946</v>
      </c>
      <c r="F138" s="18">
        <v>44332</v>
      </c>
      <c r="G138" s="11">
        <v>2793771</v>
      </c>
      <c r="H138" s="11">
        <v>1428240</v>
      </c>
      <c r="I138" s="11">
        <v>367320</v>
      </c>
      <c r="J138" s="11"/>
      <c r="K138" s="7">
        <f t="shared" si="35"/>
        <v>4589331</v>
      </c>
      <c r="M138" s="6">
        <v>44696</v>
      </c>
      <c r="N138" s="5">
        <v>1484170</v>
      </c>
      <c r="O138" s="5">
        <v>1098220</v>
      </c>
      <c r="P138" s="5">
        <v>0</v>
      </c>
      <c r="Q138" s="5">
        <f t="shared" si="19"/>
        <v>2582390</v>
      </c>
      <c r="R138" s="5">
        <v>86100</v>
      </c>
      <c r="S138" s="5">
        <f t="shared" si="20"/>
        <v>2668490</v>
      </c>
      <c r="U138" s="6">
        <v>45060</v>
      </c>
      <c r="V138" s="8">
        <v>1523433</v>
      </c>
      <c r="W138" s="8">
        <v>881000</v>
      </c>
      <c r="X138" s="8">
        <v>381090</v>
      </c>
      <c r="Y138" s="5">
        <f t="shared" si="37"/>
        <v>2785523</v>
      </c>
      <c r="Z138" s="5"/>
      <c r="AA138" s="8">
        <v>0</v>
      </c>
      <c r="AB138" s="5">
        <f t="shared" si="38"/>
        <v>2785523</v>
      </c>
      <c r="AD138" s="6">
        <v>45425</v>
      </c>
      <c r="AE138" s="8">
        <v>12612881</v>
      </c>
      <c r="AF138" s="8">
        <v>1944870</v>
      </c>
      <c r="AG138" s="8">
        <v>240050</v>
      </c>
      <c r="AH138" s="5">
        <f t="shared" si="40"/>
        <v>14797801</v>
      </c>
      <c r="AI138" s="5">
        <v>1815120</v>
      </c>
      <c r="AJ138" s="8">
        <v>27000</v>
      </c>
      <c r="AK138" s="5">
        <f t="shared" si="41"/>
        <v>16639921</v>
      </c>
      <c r="AM138" s="6">
        <v>45791</v>
      </c>
      <c r="AN138" s="8">
        <v>9436457</v>
      </c>
      <c r="AO138" s="8">
        <v>3198240</v>
      </c>
      <c r="AP138" s="8">
        <v>386900</v>
      </c>
      <c r="AQ138" s="5">
        <f>SUM(AN138:AP138)</f>
        <v>13021597</v>
      </c>
      <c r="AR138" s="5">
        <v>2722918</v>
      </c>
      <c r="AS138" s="5"/>
      <c r="AT138" s="8">
        <f t="shared" si="39"/>
        <v>2722918</v>
      </c>
      <c r="AU138" s="5"/>
      <c r="AV138" s="5">
        <f>AQ138+AT138</f>
        <v>15744515</v>
      </c>
      <c r="AX138" s="6">
        <v>46157</v>
      </c>
      <c r="AY138" s="8">
        <v>1720190</v>
      </c>
      <c r="AZ138" s="8">
        <v>0</v>
      </c>
      <c r="BA138" s="8">
        <v>0</v>
      </c>
      <c r="BB138" s="5">
        <f t="shared" si="29"/>
        <v>1720190</v>
      </c>
      <c r="BC138" s="5">
        <v>2796010</v>
      </c>
      <c r="BD138" s="5">
        <v>298960</v>
      </c>
      <c r="BE138" s="8">
        <f t="shared" si="25"/>
        <v>3094970</v>
      </c>
      <c r="BF138" s="5">
        <v>50000</v>
      </c>
      <c r="BG138" s="5">
        <f t="shared" si="36"/>
        <v>4865160</v>
      </c>
    </row>
    <row r="139" spans="1:59">
      <c r="A139" s="6">
        <v>43969</v>
      </c>
      <c r="B139" s="11">
        <v>6374016</v>
      </c>
      <c r="C139" s="11">
        <v>5313130</v>
      </c>
      <c r="D139" s="11">
        <f t="shared" si="34"/>
        <v>11687146</v>
      </c>
      <c r="F139" s="18">
        <v>44333</v>
      </c>
      <c r="G139" s="11">
        <v>10608663</v>
      </c>
      <c r="H139" s="11">
        <v>3308350</v>
      </c>
      <c r="I139" s="11">
        <v>334620</v>
      </c>
      <c r="J139" s="11"/>
      <c r="K139" s="7">
        <f t="shared" si="35"/>
        <v>14251633</v>
      </c>
      <c r="M139" s="6">
        <v>44697</v>
      </c>
      <c r="N139" s="5">
        <v>12754946</v>
      </c>
      <c r="O139" s="5">
        <v>4913890</v>
      </c>
      <c r="P139" s="5">
        <v>308090</v>
      </c>
      <c r="Q139" s="5">
        <f t="shared" si="19"/>
        <v>17976926</v>
      </c>
      <c r="R139" s="5">
        <v>232640</v>
      </c>
      <c r="S139" s="5">
        <f t="shared" si="20"/>
        <v>18209566</v>
      </c>
      <c r="U139" s="6">
        <v>45061</v>
      </c>
      <c r="V139" s="8">
        <v>10635601</v>
      </c>
      <c r="W139" s="8">
        <v>3886620</v>
      </c>
      <c r="X139" s="8">
        <v>615840</v>
      </c>
      <c r="Y139" s="5">
        <f t="shared" si="37"/>
        <v>15138061</v>
      </c>
      <c r="Z139" s="5"/>
      <c r="AA139" s="8">
        <v>0</v>
      </c>
      <c r="AB139" s="5">
        <f t="shared" si="38"/>
        <v>15138061</v>
      </c>
      <c r="AD139" s="6">
        <v>45426</v>
      </c>
      <c r="AE139" s="8">
        <v>10598069</v>
      </c>
      <c r="AF139" s="8">
        <v>1846600</v>
      </c>
      <c r="AG139" s="8">
        <v>166430</v>
      </c>
      <c r="AH139" s="5">
        <f t="shared" si="40"/>
        <v>12611099</v>
      </c>
      <c r="AI139" s="5">
        <v>1951182</v>
      </c>
      <c r="AJ139" s="8"/>
      <c r="AK139" s="5">
        <f t="shared" si="41"/>
        <v>14562281</v>
      </c>
      <c r="AM139" s="6">
        <v>45792</v>
      </c>
      <c r="AN139" s="8">
        <v>12533747</v>
      </c>
      <c r="AO139" s="8">
        <v>2770600</v>
      </c>
      <c r="AP139" s="8">
        <v>402540</v>
      </c>
      <c r="AQ139" s="5">
        <f>SUM(AN139:AP139)</f>
        <v>15706887</v>
      </c>
      <c r="AR139" s="5">
        <v>2773500</v>
      </c>
      <c r="AS139" s="5"/>
      <c r="AT139" s="8">
        <f t="shared" si="39"/>
        <v>2773500</v>
      </c>
      <c r="AU139" s="5"/>
      <c r="AV139" s="5">
        <f>AQ139+AT139</f>
        <v>18480387</v>
      </c>
      <c r="AX139" s="6">
        <v>46158</v>
      </c>
      <c r="AY139" s="8">
        <v>1568320</v>
      </c>
      <c r="AZ139" s="8">
        <v>0</v>
      </c>
      <c r="BA139" s="8">
        <v>74560</v>
      </c>
      <c r="BB139" s="5">
        <f t="shared" si="29"/>
        <v>1642880</v>
      </c>
      <c r="BC139" s="5">
        <v>1222400</v>
      </c>
      <c r="BD139" s="5">
        <v>285280</v>
      </c>
      <c r="BE139" s="8">
        <f t="shared" ref="BE139:BE198" si="42">BC139+BD139</f>
        <v>1507680</v>
      </c>
      <c r="BF139" s="5">
        <v>108530</v>
      </c>
      <c r="BG139" s="5">
        <f t="shared" si="36"/>
        <v>3259090</v>
      </c>
    </row>
    <row r="140" spans="1:59">
      <c r="A140" s="6">
        <v>43970</v>
      </c>
      <c r="B140" s="11">
        <v>12603212</v>
      </c>
      <c r="C140" s="11">
        <v>5918970</v>
      </c>
      <c r="D140" s="11">
        <f t="shared" si="34"/>
        <v>18522182</v>
      </c>
      <c r="F140" s="18">
        <v>44334</v>
      </c>
      <c r="G140" s="11">
        <v>17355781</v>
      </c>
      <c r="H140" s="11">
        <v>5100740</v>
      </c>
      <c r="I140" s="11">
        <v>475570</v>
      </c>
      <c r="J140" s="11"/>
      <c r="K140" s="7">
        <f t="shared" si="35"/>
        <v>22932091</v>
      </c>
      <c r="M140" s="6">
        <v>44698</v>
      </c>
      <c r="N140" s="5">
        <v>8981469</v>
      </c>
      <c r="O140" s="5">
        <v>3081840</v>
      </c>
      <c r="P140" s="5">
        <v>198170</v>
      </c>
      <c r="Q140" s="5">
        <f t="shared" si="19"/>
        <v>12261479</v>
      </c>
      <c r="R140" s="5">
        <v>115750</v>
      </c>
      <c r="S140" s="5">
        <f t="shared" si="20"/>
        <v>12377229</v>
      </c>
      <c r="U140" s="6">
        <v>45062</v>
      </c>
      <c r="V140" s="8">
        <v>10400376</v>
      </c>
      <c r="W140" s="8">
        <v>3677989</v>
      </c>
      <c r="X140" s="8">
        <v>369040</v>
      </c>
      <c r="Y140" s="5">
        <f t="shared" si="37"/>
        <v>14447405</v>
      </c>
      <c r="Z140" s="5"/>
      <c r="AA140" s="8">
        <v>0</v>
      </c>
      <c r="AB140" s="5">
        <f t="shared" si="38"/>
        <v>14447405</v>
      </c>
      <c r="AD140" s="6">
        <v>45427</v>
      </c>
      <c r="AE140" s="8">
        <v>6640984</v>
      </c>
      <c r="AF140" s="8">
        <v>1100885</v>
      </c>
      <c r="AG140" s="8">
        <v>261950</v>
      </c>
      <c r="AH140" s="5">
        <f t="shared" si="40"/>
        <v>8003819</v>
      </c>
      <c r="AI140" s="5">
        <v>1786380</v>
      </c>
      <c r="AJ140" s="8">
        <v>16500</v>
      </c>
      <c r="AK140" s="5">
        <f t="shared" si="41"/>
        <v>9806699</v>
      </c>
      <c r="AM140" s="6">
        <v>45793</v>
      </c>
      <c r="AN140" s="8">
        <v>10128426</v>
      </c>
      <c r="AO140" s="8">
        <v>2847680</v>
      </c>
      <c r="AP140" s="8">
        <v>413800</v>
      </c>
      <c r="AQ140" s="5">
        <f t="shared" ref="AQ140:AQ152" si="43">SUM(AN140:AP140)</f>
        <v>13389906</v>
      </c>
      <c r="AR140" s="5">
        <v>2394580</v>
      </c>
      <c r="AS140" s="5"/>
      <c r="AT140" s="8">
        <f t="shared" si="39"/>
        <v>2394580</v>
      </c>
      <c r="AU140" s="5"/>
      <c r="AV140" s="5">
        <f t="shared" ref="AV140:AV152" si="44">AQ140+AT140</f>
        <v>15784486</v>
      </c>
      <c r="AX140" s="6">
        <v>46159</v>
      </c>
      <c r="AY140" s="8">
        <v>2277120</v>
      </c>
      <c r="AZ140" s="8">
        <v>0</v>
      </c>
      <c r="BA140" s="8">
        <v>49380</v>
      </c>
      <c r="BB140" s="5">
        <f t="shared" si="29"/>
        <v>2326500</v>
      </c>
      <c r="BC140" s="5">
        <v>1958377</v>
      </c>
      <c r="BD140" s="5">
        <v>255100</v>
      </c>
      <c r="BE140" s="8">
        <f t="shared" si="42"/>
        <v>2213477</v>
      </c>
      <c r="BF140" s="5">
        <v>87380</v>
      </c>
      <c r="BG140" s="5">
        <f t="shared" si="36"/>
        <v>4627357</v>
      </c>
    </row>
    <row r="141" spans="1:59">
      <c r="A141" s="6">
        <v>43971</v>
      </c>
      <c r="B141" s="11">
        <v>10083016</v>
      </c>
      <c r="C141" s="11">
        <v>5215090</v>
      </c>
      <c r="D141" s="11">
        <f t="shared" si="34"/>
        <v>15298106</v>
      </c>
      <c r="F141" s="18">
        <v>44335</v>
      </c>
      <c r="G141" s="11">
        <v>2711528</v>
      </c>
      <c r="H141" s="11">
        <v>972330</v>
      </c>
      <c r="I141" s="11">
        <v>124080</v>
      </c>
      <c r="J141" s="11"/>
      <c r="K141" s="7">
        <f t="shared" si="35"/>
        <v>3807938</v>
      </c>
      <c r="M141" s="6">
        <v>44699</v>
      </c>
      <c r="N141" s="5">
        <v>7202562</v>
      </c>
      <c r="O141" s="5">
        <v>3385400</v>
      </c>
      <c r="P141" s="5">
        <v>104350</v>
      </c>
      <c r="Q141" s="5">
        <f t="shared" si="19"/>
        <v>10692312</v>
      </c>
      <c r="R141" s="5">
        <v>107910</v>
      </c>
      <c r="S141" s="5">
        <f t="shared" si="20"/>
        <v>10800222</v>
      </c>
      <c r="U141" s="6">
        <v>45063</v>
      </c>
      <c r="V141" s="8">
        <v>9263960</v>
      </c>
      <c r="W141" s="8">
        <v>3280907</v>
      </c>
      <c r="X141" s="8">
        <v>497660</v>
      </c>
      <c r="Y141" s="5">
        <f t="shared" si="37"/>
        <v>13042527</v>
      </c>
      <c r="Z141" s="5"/>
      <c r="AA141" s="8">
        <v>28310</v>
      </c>
      <c r="AB141" s="5">
        <f t="shared" si="38"/>
        <v>13070837</v>
      </c>
      <c r="AD141" s="6">
        <v>45428</v>
      </c>
      <c r="AE141" s="8">
        <v>5243839</v>
      </c>
      <c r="AF141" s="8">
        <v>2167040</v>
      </c>
      <c r="AG141" s="8">
        <v>260210</v>
      </c>
      <c r="AH141" s="5">
        <f t="shared" si="40"/>
        <v>7671089</v>
      </c>
      <c r="AI141" s="5">
        <v>1782540</v>
      </c>
      <c r="AJ141" s="8">
        <v>0</v>
      </c>
      <c r="AK141" s="5">
        <f t="shared" si="41"/>
        <v>9453629</v>
      </c>
      <c r="AM141" s="6">
        <v>45794</v>
      </c>
      <c r="AN141" s="8">
        <v>2532705</v>
      </c>
      <c r="AO141" s="8">
        <v>851500</v>
      </c>
      <c r="AP141" s="8">
        <v>273080</v>
      </c>
      <c r="AQ141" s="5">
        <f t="shared" si="43"/>
        <v>3657285</v>
      </c>
      <c r="AR141" s="5">
        <v>1287980</v>
      </c>
      <c r="AS141" s="5"/>
      <c r="AT141" s="8">
        <f t="shared" si="39"/>
        <v>1287980</v>
      </c>
      <c r="AU141" s="5"/>
      <c r="AV141" s="5">
        <f t="shared" si="44"/>
        <v>4945265</v>
      </c>
      <c r="AX141" s="6">
        <v>46160</v>
      </c>
      <c r="AY141" s="8">
        <v>2547390</v>
      </c>
      <c r="AZ141" s="8">
        <v>77520</v>
      </c>
      <c r="BA141" s="8">
        <v>54500</v>
      </c>
      <c r="BB141" s="5">
        <f t="shared" si="29"/>
        <v>2679410</v>
      </c>
      <c r="BC141" s="5">
        <v>2280966</v>
      </c>
      <c r="BD141" s="5">
        <v>368900</v>
      </c>
      <c r="BE141" s="8">
        <f t="shared" si="42"/>
        <v>2649866</v>
      </c>
      <c r="BF141" s="5">
        <v>6200345</v>
      </c>
      <c r="BG141" s="5">
        <f t="shared" si="36"/>
        <v>11529621</v>
      </c>
    </row>
    <row r="142" spans="1:59">
      <c r="A142" s="6">
        <v>43972</v>
      </c>
      <c r="B142" s="11">
        <v>10525529</v>
      </c>
      <c r="C142" s="11">
        <v>4766060</v>
      </c>
      <c r="D142" s="11">
        <f t="shared" si="34"/>
        <v>15291589</v>
      </c>
      <c r="F142" s="18">
        <v>44336</v>
      </c>
      <c r="G142" s="11">
        <v>4868741</v>
      </c>
      <c r="H142" s="11">
        <v>2286000</v>
      </c>
      <c r="I142" s="11">
        <v>701680</v>
      </c>
      <c r="J142" s="11"/>
      <c r="K142" s="7">
        <f t="shared" si="35"/>
        <v>7856421</v>
      </c>
      <c r="M142" s="6">
        <v>44700</v>
      </c>
      <c r="N142" s="5">
        <v>9922372</v>
      </c>
      <c r="O142" s="5">
        <v>3877260</v>
      </c>
      <c r="P142" s="5">
        <v>110890</v>
      </c>
      <c r="Q142" s="5">
        <f t="shared" si="19"/>
        <v>13910522</v>
      </c>
      <c r="R142" s="5">
        <v>110310</v>
      </c>
      <c r="S142" s="5">
        <f t="shared" si="20"/>
        <v>14020832</v>
      </c>
      <c r="U142" s="6">
        <v>45064</v>
      </c>
      <c r="V142" s="8">
        <v>7918782</v>
      </c>
      <c r="W142" s="8">
        <v>4125607</v>
      </c>
      <c r="X142" s="8">
        <v>438900</v>
      </c>
      <c r="Y142" s="5">
        <f t="shared" si="37"/>
        <v>12483289</v>
      </c>
      <c r="Z142" s="5"/>
      <c r="AA142" s="8">
        <v>14900</v>
      </c>
      <c r="AB142" s="5">
        <f t="shared" si="38"/>
        <v>12498189</v>
      </c>
      <c r="AD142" s="6">
        <v>45429</v>
      </c>
      <c r="AE142" s="8">
        <v>12094963</v>
      </c>
      <c r="AF142" s="8">
        <v>578700</v>
      </c>
      <c r="AG142" s="8">
        <v>92420</v>
      </c>
      <c r="AH142" s="5">
        <f t="shared" si="40"/>
        <v>12766083</v>
      </c>
      <c r="AI142" s="5">
        <v>1451000</v>
      </c>
      <c r="AJ142" s="8">
        <v>0</v>
      </c>
      <c r="AK142" s="5">
        <f t="shared" si="41"/>
        <v>14217083</v>
      </c>
      <c r="AM142" s="6">
        <v>45795</v>
      </c>
      <c r="AN142" s="8">
        <v>1297570</v>
      </c>
      <c r="AO142" s="8">
        <v>545540</v>
      </c>
      <c r="AP142" s="8">
        <v>222620</v>
      </c>
      <c r="AQ142" s="5">
        <f t="shared" si="43"/>
        <v>2065730</v>
      </c>
      <c r="AR142" s="5">
        <v>1745280</v>
      </c>
      <c r="AS142" s="5"/>
      <c r="AT142" s="8">
        <f t="shared" si="39"/>
        <v>1745280</v>
      </c>
      <c r="AU142" s="5"/>
      <c r="AV142" s="5">
        <f t="shared" si="44"/>
        <v>3811010</v>
      </c>
      <c r="AX142" s="6">
        <v>46161</v>
      </c>
      <c r="AY142" s="8">
        <v>3252730</v>
      </c>
      <c r="AZ142" s="8">
        <v>0</v>
      </c>
      <c r="BA142" s="8">
        <v>37600</v>
      </c>
      <c r="BB142" s="5">
        <f t="shared" si="29"/>
        <v>3290330</v>
      </c>
      <c r="BC142" s="5">
        <v>1933000</v>
      </c>
      <c r="BD142" s="5">
        <v>217300</v>
      </c>
      <c r="BE142" s="8">
        <f t="shared" si="42"/>
        <v>2150300</v>
      </c>
      <c r="BF142" s="5">
        <v>3352135</v>
      </c>
      <c r="BG142" s="5">
        <f t="shared" si="36"/>
        <v>8792765</v>
      </c>
    </row>
    <row r="143" spans="1:59">
      <c r="A143" s="6">
        <v>43973</v>
      </c>
      <c r="B143" s="11">
        <v>3552324</v>
      </c>
      <c r="C143" s="11">
        <v>3429740</v>
      </c>
      <c r="D143" s="11">
        <f t="shared" si="34"/>
        <v>6982064</v>
      </c>
      <c r="F143" s="18">
        <v>44337</v>
      </c>
      <c r="G143" s="11">
        <v>3662346</v>
      </c>
      <c r="H143" s="11">
        <v>1787680</v>
      </c>
      <c r="I143" s="11">
        <v>504780</v>
      </c>
      <c r="J143" s="11"/>
      <c r="K143" s="7">
        <f t="shared" si="35"/>
        <v>5954806</v>
      </c>
      <c r="M143" s="6">
        <v>44701</v>
      </c>
      <c r="N143" s="5">
        <v>8408007</v>
      </c>
      <c r="O143" s="5">
        <v>2951530</v>
      </c>
      <c r="P143" s="5">
        <v>103200</v>
      </c>
      <c r="Q143" s="5">
        <f t="shared" si="19"/>
        <v>11462737</v>
      </c>
      <c r="R143" s="5">
        <v>72030</v>
      </c>
      <c r="S143" s="5">
        <f t="shared" si="20"/>
        <v>11534767</v>
      </c>
      <c r="U143" s="6">
        <v>45065</v>
      </c>
      <c r="V143" s="8">
        <v>10617028</v>
      </c>
      <c r="W143" s="8">
        <v>2826740</v>
      </c>
      <c r="X143" s="8">
        <v>347510</v>
      </c>
      <c r="Y143" s="5">
        <f t="shared" si="37"/>
        <v>13791278</v>
      </c>
      <c r="Z143" s="5"/>
      <c r="AA143" s="8">
        <v>11900</v>
      </c>
      <c r="AB143" s="5">
        <f t="shared" si="38"/>
        <v>13803178</v>
      </c>
      <c r="AD143" s="6">
        <v>45430</v>
      </c>
      <c r="AE143" s="8">
        <v>1679511</v>
      </c>
      <c r="AF143" s="8">
        <v>380630</v>
      </c>
      <c r="AG143" s="8">
        <v>380190</v>
      </c>
      <c r="AH143" s="5">
        <f t="shared" si="40"/>
        <v>2440331</v>
      </c>
      <c r="AI143" s="5">
        <v>737840</v>
      </c>
      <c r="AJ143" s="8">
        <v>0</v>
      </c>
      <c r="AK143" s="5">
        <f t="shared" si="41"/>
        <v>3178171</v>
      </c>
      <c r="AM143" s="6">
        <v>45796</v>
      </c>
      <c r="AN143" s="8">
        <v>15467612</v>
      </c>
      <c r="AO143" s="8">
        <v>3351582</v>
      </c>
      <c r="AP143" s="8">
        <v>514130</v>
      </c>
      <c r="AQ143" s="5">
        <f t="shared" si="43"/>
        <v>19333324</v>
      </c>
      <c r="AR143" s="5">
        <v>3945560</v>
      </c>
      <c r="AS143" s="5"/>
      <c r="AT143" s="8">
        <f t="shared" si="39"/>
        <v>3945560</v>
      </c>
      <c r="AU143" s="5"/>
      <c r="AV143" s="5">
        <f t="shared" si="44"/>
        <v>23278884</v>
      </c>
      <c r="AX143" s="6">
        <v>46162</v>
      </c>
      <c r="AY143" s="8">
        <v>3655690</v>
      </c>
      <c r="AZ143" s="8">
        <v>0</v>
      </c>
      <c r="BA143" s="8">
        <v>229840</v>
      </c>
      <c r="BB143" s="5">
        <f t="shared" si="29"/>
        <v>3885530</v>
      </c>
      <c r="BC143" s="5">
        <v>1704160</v>
      </c>
      <c r="BD143" s="5">
        <v>383160</v>
      </c>
      <c r="BE143" s="8">
        <f t="shared" si="42"/>
        <v>2087320</v>
      </c>
      <c r="BF143" s="5">
        <v>482320</v>
      </c>
      <c r="BG143" s="5">
        <f t="shared" si="36"/>
        <v>6455170</v>
      </c>
    </row>
    <row r="144" spans="1:59">
      <c r="A144" s="6">
        <v>43974</v>
      </c>
      <c r="B144" s="11">
        <v>14142210</v>
      </c>
      <c r="C144" s="11">
        <v>2137250</v>
      </c>
      <c r="D144" s="11">
        <f t="shared" si="34"/>
        <v>16279460</v>
      </c>
      <c r="F144" s="18">
        <v>44338</v>
      </c>
      <c r="G144" s="11">
        <v>2403091</v>
      </c>
      <c r="H144" s="11">
        <v>1134060</v>
      </c>
      <c r="I144" s="11">
        <v>279880</v>
      </c>
      <c r="J144" s="11"/>
      <c r="K144" s="7">
        <f t="shared" si="35"/>
        <v>3817031</v>
      </c>
      <c r="M144" s="6">
        <v>44702</v>
      </c>
      <c r="N144" s="5">
        <v>2188321</v>
      </c>
      <c r="O144" s="5">
        <v>811920</v>
      </c>
      <c r="P144" s="5">
        <v>92520</v>
      </c>
      <c r="Q144" s="5">
        <f t="shared" si="19"/>
        <v>3092761</v>
      </c>
      <c r="R144" s="5">
        <v>63630</v>
      </c>
      <c r="S144" s="5">
        <f t="shared" si="20"/>
        <v>3156391</v>
      </c>
      <c r="U144" s="6">
        <v>45066</v>
      </c>
      <c r="V144" s="8">
        <v>940199</v>
      </c>
      <c r="W144" s="8">
        <v>1082280</v>
      </c>
      <c r="X144" s="8">
        <v>194600</v>
      </c>
      <c r="Y144" s="5">
        <f t="shared" si="37"/>
        <v>2217079</v>
      </c>
      <c r="Z144" s="5"/>
      <c r="AA144" s="8">
        <v>0</v>
      </c>
      <c r="AB144" s="5">
        <f t="shared" si="38"/>
        <v>2217079</v>
      </c>
      <c r="AD144" s="6">
        <v>45431</v>
      </c>
      <c r="AE144" s="8">
        <v>1746477</v>
      </c>
      <c r="AF144" s="8">
        <v>675910</v>
      </c>
      <c r="AG144" s="8">
        <v>126370</v>
      </c>
      <c r="AH144" s="5">
        <f t="shared" si="40"/>
        <v>2548757</v>
      </c>
      <c r="AI144" s="5">
        <v>988980</v>
      </c>
      <c r="AJ144" s="8">
        <v>0</v>
      </c>
      <c r="AK144" s="5">
        <f t="shared" si="41"/>
        <v>3537737</v>
      </c>
      <c r="AM144" s="6">
        <v>45797</v>
      </c>
      <c r="AN144" s="8">
        <v>15840732</v>
      </c>
      <c r="AO144" s="8">
        <v>2745270</v>
      </c>
      <c r="AP144" s="8">
        <v>457860</v>
      </c>
      <c r="AQ144" s="5">
        <f t="shared" si="43"/>
        <v>19043862</v>
      </c>
      <c r="AR144" s="5">
        <v>1608520</v>
      </c>
      <c r="AS144" s="5"/>
      <c r="AT144" s="8">
        <f t="shared" si="39"/>
        <v>1608520</v>
      </c>
      <c r="AU144" s="5"/>
      <c r="AV144" s="5">
        <f t="shared" si="44"/>
        <v>20652382</v>
      </c>
      <c r="AX144" s="6">
        <v>46163</v>
      </c>
      <c r="AY144" s="8">
        <v>2210390</v>
      </c>
      <c r="AZ144" s="8">
        <v>456500</v>
      </c>
      <c r="BA144" s="8">
        <v>291740</v>
      </c>
      <c r="BB144" s="5">
        <f t="shared" si="29"/>
        <v>2958630</v>
      </c>
      <c r="BC144" s="5">
        <v>2391350</v>
      </c>
      <c r="BD144" s="5">
        <v>143600</v>
      </c>
      <c r="BE144" s="8">
        <f t="shared" si="42"/>
        <v>2534950</v>
      </c>
      <c r="BF144" s="5">
        <v>497999</v>
      </c>
      <c r="BG144" s="5">
        <f t="shared" si="36"/>
        <v>5991579</v>
      </c>
    </row>
    <row r="145" spans="1:59">
      <c r="A145" s="6">
        <v>43975</v>
      </c>
      <c r="B145" s="11">
        <v>10083016</v>
      </c>
      <c r="C145" s="11">
        <v>5125090</v>
      </c>
      <c r="D145" s="11">
        <f t="shared" si="34"/>
        <v>15208106</v>
      </c>
      <c r="F145" s="18">
        <v>44339</v>
      </c>
      <c r="G145" s="11">
        <v>2460636</v>
      </c>
      <c r="H145" s="11">
        <v>1549250</v>
      </c>
      <c r="I145" s="11">
        <v>283130</v>
      </c>
      <c r="J145" s="11"/>
      <c r="K145" s="7">
        <f t="shared" si="35"/>
        <v>4293016</v>
      </c>
      <c r="M145" s="6">
        <v>44703</v>
      </c>
      <c r="N145" s="5">
        <v>1758851</v>
      </c>
      <c r="O145" s="5">
        <v>1465360</v>
      </c>
      <c r="P145" s="5">
        <v>353170</v>
      </c>
      <c r="Q145" s="5">
        <f t="shared" si="19"/>
        <v>3577381</v>
      </c>
      <c r="R145" s="5">
        <v>123900</v>
      </c>
      <c r="S145" s="5">
        <f t="shared" si="20"/>
        <v>3701281</v>
      </c>
      <c r="U145" s="6">
        <v>45067</v>
      </c>
      <c r="V145" s="8">
        <v>2931440</v>
      </c>
      <c r="W145" s="8">
        <v>2146560</v>
      </c>
      <c r="X145" s="8">
        <v>203260</v>
      </c>
      <c r="Y145" s="5">
        <f t="shared" si="37"/>
        <v>5281260</v>
      </c>
      <c r="Z145" s="5"/>
      <c r="AA145" s="8">
        <v>0</v>
      </c>
      <c r="AB145" s="5">
        <f t="shared" si="38"/>
        <v>5281260</v>
      </c>
      <c r="AD145" s="6">
        <v>45432</v>
      </c>
      <c r="AE145" s="8">
        <v>16050069</v>
      </c>
      <c r="AF145" s="8">
        <v>970260</v>
      </c>
      <c r="AG145" s="8">
        <v>649790</v>
      </c>
      <c r="AH145" s="5">
        <f t="shared" si="40"/>
        <v>17670119</v>
      </c>
      <c r="AI145" s="5">
        <v>1797780</v>
      </c>
      <c r="AJ145" s="8">
        <v>16500</v>
      </c>
      <c r="AK145" s="5">
        <f t="shared" si="41"/>
        <v>19484399</v>
      </c>
      <c r="AM145" s="6">
        <v>45798</v>
      </c>
      <c r="AN145" s="8">
        <v>11046735</v>
      </c>
      <c r="AO145" s="8">
        <v>2495310</v>
      </c>
      <c r="AP145" s="8">
        <v>530590</v>
      </c>
      <c r="AQ145" s="5">
        <f t="shared" si="43"/>
        <v>14072635</v>
      </c>
      <c r="AR145" s="5">
        <v>2965014</v>
      </c>
      <c r="AS145" s="5"/>
      <c r="AT145" s="8">
        <f t="shared" si="39"/>
        <v>2965014</v>
      </c>
      <c r="AU145" s="5"/>
      <c r="AV145" s="5">
        <f t="shared" si="44"/>
        <v>17037649</v>
      </c>
      <c r="AX145" s="6">
        <v>46164</v>
      </c>
      <c r="AY145" s="8">
        <v>2567200</v>
      </c>
      <c r="AZ145" s="8">
        <v>453450</v>
      </c>
      <c r="BA145" s="8">
        <v>266010</v>
      </c>
      <c r="BB145" s="5">
        <f t="shared" si="29"/>
        <v>3286660</v>
      </c>
      <c r="BC145" s="5">
        <v>1704660</v>
      </c>
      <c r="BD145" s="5">
        <v>360900</v>
      </c>
      <c r="BE145" s="8">
        <f t="shared" si="42"/>
        <v>2065560</v>
      </c>
      <c r="BF145" s="5">
        <v>472904</v>
      </c>
      <c r="BG145" s="5">
        <f t="shared" si="36"/>
        <v>5825124</v>
      </c>
    </row>
    <row r="146" spans="1:59">
      <c r="A146" s="6">
        <v>43976</v>
      </c>
      <c r="B146" s="11">
        <v>9134281</v>
      </c>
      <c r="C146" s="11">
        <v>3615668</v>
      </c>
      <c r="D146" s="11">
        <f t="shared" si="34"/>
        <v>12749949</v>
      </c>
      <c r="F146" s="18">
        <v>44340</v>
      </c>
      <c r="G146" s="11">
        <v>5159730</v>
      </c>
      <c r="H146" s="11">
        <v>2972440</v>
      </c>
      <c r="I146" s="11">
        <v>818450</v>
      </c>
      <c r="J146" s="11"/>
      <c r="K146" s="7">
        <f t="shared" si="35"/>
        <v>8950620</v>
      </c>
      <c r="M146" s="6">
        <v>44704</v>
      </c>
      <c r="N146" s="5">
        <v>8942010</v>
      </c>
      <c r="O146" s="5">
        <v>3607455</v>
      </c>
      <c r="P146" s="5">
        <v>475690</v>
      </c>
      <c r="Q146" s="5">
        <f t="shared" si="19"/>
        <v>13025155</v>
      </c>
      <c r="R146" s="5">
        <v>264810</v>
      </c>
      <c r="S146" s="5">
        <f t="shared" si="20"/>
        <v>13289965</v>
      </c>
      <c r="U146" s="6">
        <v>45068</v>
      </c>
      <c r="V146" s="8">
        <v>5573692</v>
      </c>
      <c r="W146" s="8">
        <v>3244580</v>
      </c>
      <c r="X146" s="8">
        <v>658160</v>
      </c>
      <c r="Y146" s="5">
        <f t="shared" si="37"/>
        <v>9476432</v>
      </c>
      <c r="Z146" s="5"/>
      <c r="AA146" s="8">
        <v>99420</v>
      </c>
      <c r="AB146" s="5">
        <f t="shared" si="38"/>
        <v>9575852</v>
      </c>
      <c r="AD146" s="6">
        <v>45433</v>
      </c>
      <c r="AE146" s="8">
        <v>15595386</v>
      </c>
      <c r="AF146" s="8">
        <v>1652690</v>
      </c>
      <c r="AG146" s="8">
        <v>428200</v>
      </c>
      <c r="AH146" s="5">
        <f t="shared" si="40"/>
        <v>17676276</v>
      </c>
      <c r="AI146" s="5">
        <v>1488140</v>
      </c>
      <c r="AJ146" s="8">
        <v>33000</v>
      </c>
      <c r="AK146" s="5">
        <f t="shared" si="41"/>
        <v>19197416</v>
      </c>
      <c r="AM146" s="6">
        <v>45799</v>
      </c>
      <c r="AN146" s="8">
        <v>10978478</v>
      </c>
      <c r="AO146" s="8">
        <v>2814740</v>
      </c>
      <c r="AP146" s="8">
        <v>701560</v>
      </c>
      <c r="AQ146" s="5">
        <f t="shared" si="43"/>
        <v>14494778</v>
      </c>
      <c r="AR146" s="5">
        <v>2557970</v>
      </c>
      <c r="AS146" s="5"/>
      <c r="AT146" s="8">
        <f t="shared" si="39"/>
        <v>2557970</v>
      </c>
      <c r="AU146" s="5"/>
      <c r="AV146" s="5">
        <f t="shared" si="44"/>
        <v>17052748</v>
      </c>
      <c r="AX146" s="6">
        <v>46165</v>
      </c>
      <c r="AY146" s="8">
        <v>1787030</v>
      </c>
      <c r="AZ146" s="8">
        <v>302700</v>
      </c>
      <c r="BA146" s="8">
        <v>96980</v>
      </c>
      <c r="BB146" s="5">
        <f t="shared" si="29"/>
        <v>2186710</v>
      </c>
      <c r="BC146" s="5">
        <v>1188590</v>
      </c>
      <c r="BD146" s="5"/>
      <c r="BE146" s="8">
        <f t="shared" si="42"/>
        <v>1188590</v>
      </c>
      <c r="BF146" s="5">
        <v>100000</v>
      </c>
      <c r="BG146" s="5">
        <f t="shared" si="36"/>
        <v>3475300</v>
      </c>
    </row>
    <row r="147" spans="1:59">
      <c r="A147" s="6">
        <v>43977</v>
      </c>
      <c r="B147" s="11">
        <v>11681373</v>
      </c>
      <c r="C147" s="11">
        <v>6128810</v>
      </c>
      <c r="D147" s="11">
        <f t="shared" si="34"/>
        <v>17810183</v>
      </c>
      <c r="F147" s="18">
        <v>44341</v>
      </c>
      <c r="G147" s="11">
        <v>10694034</v>
      </c>
      <c r="H147" s="11">
        <v>3455330</v>
      </c>
      <c r="I147" s="11">
        <v>1102250</v>
      </c>
      <c r="J147" s="11"/>
      <c r="K147" s="7">
        <f t="shared" si="35"/>
        <v>15251614</v>
      </c>
      <c r="M147" s="6">
        <v>44705</v>
      </c>
      <c r="N147" s="5">
        <v>9266901</v>
      </c>
      <c r="O147" s="5">
        <v>3924810</v>
      </c>
      <c r="P147" s="5">
        <v>224400</v>
      </c>
      <c r="Q147" s="5">
        <f t="shared" si="19"/>
        <v>13416111</v>
      </c>
      <c r="R147" s="5">
        <v>164100</v>
      </c>
      <c r="S147" s="5">
        <f t="shared" si="20"/>
        <v>13580211</v>
      </c>
      <c r="U147" s="6">
        <v>45069</v>
      </c>
      <c r="V147" s="8">
        <v>11676468</v>
      </c>
      <c r="W147" s="8">
        <v>2995810</v>
      </c>
      <c r="X147" s="8">
        <v>499750</v>
      </c>
      <c r="Y147" s="5">
        <f t="shared" si="37"/>
        <v>15172028</v>
      </c>
      <c r="Z147" s="5"/>
      <c r="AA147" s="8">
        <v>14900</v>
      </c>
      <c r="AB147" s="5">
        <f t="shared" si="38"/>
        <v>15186928</v>
      </c>
      <c r="AD147" s="6">
        <v>45434</v>
      </c>
      <c r="AE147" s="8">
        <v>18464881</v>
      </c>
      <c r="AF147" s="8">
        <v>1268890</v>
      </c>
      <c r="AG147" s="8">
        <v>423030</v>
      </c>
      <c r="AH147" s="5">
        <f t="shared" si="40"/>
        <v>20156801</v>
      </c>
      <c r="AI147" s="5">
        <v>1693720</v>
      </c>
      <c r="AJ147" s="8">
        <v>36900</v>
      </c>
      <c r="AK147" s="5">
        <f t="shared" si="41"/>
        <v>21887421</v>
      </c>
      <c r="AM147" s="6">
        <v>45800</v>
      </c>
      <c r="AN147" s="8">
        <v>6233328</v>
      </c>
      <c r="AO147" s="8">
        <v>2331560</v>
      </c>
      <c r="AP147" s="8">
        <v>939210</v>
      </c>
      <c r="AQ147" s="5">
        <f t="shared" si="43"/>
        <v>9504098</v>
      </c>
      <c r="AR147" s="5">
        <v>2191110</v>
      </c>
      <c r="AS147" s="5"/>
      <c r="AT147" s="8">
        <f t="shared" si="39"/>
        <v>2191110</v>
      </c>
      <c r="AU147" s="5"/>
      <c r="AV147" s="5">
        <f t="shared" si="44"/>
        <v>11695208</v>
      </c>
      <c r="AX147" s="6">
        <v>46166</v>
      </c>
      <c r="AY147" s="8">
        <v>2218250</v>
      </c>
      <c r="AZ147" s="8">
        <v>446710</v>
      </c>
      <c r="BA147" s="8">
        <v>270200</v>
      </c>
      <c r="BB147" s="5">
        <f t="shared" ref="BB147:BB212" si="45">SUM(AY147:BA147)</f>
        <v>2935160</v>
      </c>
      <c r="BC147" s="5">
        <v>1471960</v>
      </c>
      <c r="BD147" s="5">
        <v>372080</v>
      </c>
      <c r="BE147" s="8">
        <f t="shared" si="42"/>
        <v>1844040</v>
      </c>
      <c r="BF147" s="5">
        <v>50000</v>
      </c>
      <c r="BG147" s="5">
        <f t="shared" si="36"/>
        <v>4829200</v>
      </c>
    </row>
    <row r="148" spans="1:59">
      <c r="A148" s="6">
        <v>43978</v>
      </c>
      <c r="B148" s="11">
        <v>11677086</v>
      </c>
      <c r="C148" s="11">
        <v>6070940</v>
      </c>
      <c r="D148" s="11">
        <f t="shared" si="34"/>
        <v>17748026</v>
      </c>
      <c r="F148" s="18">
        <v>44342</v>
      </c>
      <c r="G148" s="11">
        <v>9617959</v>
      </c>
      <c r="H148" s="11">
        <v>2295900</v>
      </c>
      <c r="I148" s="11">
        <v>578530</v>
      </c>
      <c r="J148" s="11"/>
      <c r="K148" s="7">
        <f t="shared" si="35"/>
        <v>12492389</v>
      </c>
      <c r="M148" s="6">
        <v>44706</v>
      </c>
      <c r="N148" s="5">
        <v>14063771</v>
      </c>
      <c r="O148" s="5">
        <v>5969850</v>
      </c>
      <c r="P148" s="5">
        <v>452620</v>
      </c>
      <c r="Q148" s="5">
        <f t="shared" si="19"/>
        <v>20486241</v>
      </c>
      <c r="R148" s="5">
        <v>118590</v>
      </c>
      <c r="S148" s="5">
        <f t="shared" si="20"/>
        <v>20604831</v>
      </c>
      <c r="U148" s="6">
        <v>45070</v>
      </c>
      <c r="V148" s="8">
        <v>9986565</v>
      </c>
      <c r="W148" s="8">
        <v>2395570</v>
      </c>
      <c r="X148" s="8">
        <v>271780</v>
      </c>
      <c r="Y148" s="5">
        <f t="shared" si="37"/>
        <v>12653915</v>
      </c>
      <c r="Z148" s="5"/>
      <c r="AA148" s="8">
        <v>43210</v>
      </c>
      <c r="AB148" s="5">
        <f t="shared" si="38"/>
        <v>12697125</v>
      </c>
      <c r="AD148" s="6">
        <v>45435</v>
      </c>
      <c r="AE148" s="8">
        <v>14602762</v>
      </c>
      <c r="AF148" s="8">
        <v>1111680</v>
      </c>
      <c r="AG148" s="8">
        <v>425990</v>
      </c>
      <c r="AH148" s="5">
        <f t="shared" si="40"/>
        <v>16140432</v>
      </c>
      <c r="AI148" s="5">
        <v>1695760</v>
      </c>
      <c r="AJ148" s="8">
        <v>20400</v>
      </c>
      <c r="AK148" s="5">
        <f t="shared" si="41"/>
        <v>17856592</v>
      </c>
      <c r="AM148" s="6">
        <v>45801</v>
      </c>
      <c r="AN148" s="8">
        <v>4600238</v>
      </c>
      <c r="AO148" s="8">
        <v>2348160</v>
      </c>
      <c r="AP148" s="8">
        <v>1024060</v>
      </c>
      <c r="AQ148" s="5">
        <f t="shared" si="43"/>
        <v>7972458</v>
      </c>
      <c r="AR148" s="5">
        <v>2047690</v>
      </c>
      <c r="AS148" s="5"/>
      <c r="AT148" s="8">
        <f t="shared" si="39"/>
        <v>2047690</v>
      </c>
      <c r="AU148" s="5"/>
      <c r="AV148" s="5">
        <f t="shared" si="44"/>
        <v>10020148</v>
      </c>
      <c r="AX148" s="6">
        <v>46167</v>
      </c>
      <c r="AY148" s="8">
        <v>2733430</v>
      </c>
      <c r="AZ148" s="8">
        <v>823770</v>
      </c>
      <c r="BA148" s="8">
        <v>534750</v>
      </c>
      <c r="BB148" s="5">
        <f t="shared" si="45"/>
        <v>4091950</v>
      </c>
      <c r="BC148" s="5">
        <v>876680</v>
      </c>
      <c r="BD148" s="5">
        <v>184500</v>
      </c>
      <c r="BE148" s="8">
        <f t="shared" si="42"/>
        <v>1061180</v>
      </c>
      <c r="BF148" s="5">
        <v>75000</v>
      </c>
      <c r="BG148" s="5">
        <f t="shared" si="36"/>
        <v>5228130</v>
      </c>
    </row>
    <row r="149" spans="1:59">
      <c r="A149" s="6">
        <v>43979</v>
      </c>
      <c r="B149" s="11">
        <v>12425321</v>
      </c>
      <c r="C149" s="11">
        <v>5883606</v>
      </c>
      <c r="D149" s="11">
        <f t="shared" si="34"/>
        <v>18308927</v>
      </c>
      <c r="F149" s="18">
        <v>44343</v>
      </c>
      <c r="G149" s="11">
        <v>9098640</v>
      </c>
      <c r="H149" s="11">
        <v>2635290</v>
      </c>
      <c r="I149" s="11">
        <v>991570</v>
      </c>
      <c r="J149" s="11"/>
      <c r="K149" s="7">
        <f t="shared" si="35"/>
        <v>12725500</v>
      </c>
      <c r="M149" s="6">
        <v>44707</v>
      </c>
      <c r="N149" s="5">
        <v>10547360</v>
      </c>
      <c r="O149" s="5">
        <v>4066970</v>
      </c>
      <c r="P149" s="5">
        <v>147190</v>
      </c>
      <c r="Q149" s="5">
        <f t="shared" si="19"/>
        <v>14761520</v>
      </c>
      <c r="R149" s="5">
        <v>85840</v>
      </c>
      <c r="S149" s="5">
        <f t="shared" si="20"/>
        <v>14847360</v>
      </c>
      <c r="U149" s="6">
        <v>45071</v>
      </c>
      <c r="V149" s="8">
        <v>8169463</v>
      </c>
      <c r="W149" s="8">
        <v>1583330</v>
      </c>
      <c r="X149" s="8">
        <v>110390</v>
      </c>
      <c r="Y149" s="5">
        <f t="shared" si="37"/>
        <v>9863183</v>
      </c>
      <c r="Z149" s="5"/>
      <c r="AA149" s="8">
        <v>14900</v>
      </c>
      <c r="AB149" s="5">
        <f t="shared" si="38"/>
        <v>9878083</v>
      </c>
      <c r="AD149" s="6">
        <v>45436</v>
      </c>
      <c r="AE149" s="8">
        <v>18320327</v>
      </c>
      <c r="AF149" s="8">
        <v>1022000</v>
      </c>
      <c r="AG149" s="8">
        <v>186690</v>
      </c>
      <c r="AH149" s="5">
        <f t="shared" si="40"/>
        <v>19529017</v>
      </c>
      <c r="AI149" s="5">
        <v>1956260</v>
      </c>
      <c r="AJ149" s="8">
        <v>16500</v>
      </c>
      <c r="AK149" s="5">
        <f t="shared" si="41"/>
        <v>21501777</v>
      </c>
      <c r="AM149" s="6">
        <v>45802</v>
      </c>
      <c r="AN149" s="8">
        <v>5052704</v>
      </c>
      <c r="AO149" s="8">
        <v>1791530</v>
      </c>
      <c r="AP149" s="8">
        <v>716920</v>
      </c>
      <c r="AQ149" s="5">
        <f t="shared" si="43"/>
        <v>7561154</v>
      </c>
      <c r="AR149" s="5">
        <v>2323900</v>
      </c>
      <c r="AS149" s="5"/>
      <c r="AT149" s="8">
        <f t="shared" si="39"/>
        <v>2323900</v>
      </c>
      <c r="AU149" s="5"/>
      <c r="AV149" s="5">
        <f t="shared" si="44"/>
        <v>9885054</v>
      </c>
      <c r="AX149" s="6">
        <v>46168</v>
      </c>
      <c r="AY149" s="8">
        <v>3306060</v>
      </c>
      <c r="AZ149" s="8">
        <v>1263810</v>
      </c>
      <c r="BA149" s="8">
        <v>329290</v>
      </c>
      <c r="BB149" s="5">
        <f t="shared" si="45"/>
        <v>4899160</v>
      </c>
      <c r="BC149" s="5">
        <v>4411072</v>
      </c>
      <c r="BD149" s="5">
        <v>217300</v>
      </c>
      <c r="BE149" s="8">
        <f t="shared" si="42"/>
        <v>4628372</v>
      </c>
      <c r="BF149" s="5">
        <v>162500</v>
      </c>
      <c r="BG149" s="5">
        <f t="shared" si="36"/>
        <v>9690032</v>
      </c>
    </row>
    <row r="150" spans="1:59">
      <c r="A150" s="6">
        <v>43980</v>
      </c>
      <c r="B150" s="11">
        <v>3513583</v>
      </c>
      <c r="C150" s="11">
        <v>3166170</v>
      </c>
      <c r="D150" s="11">
        <f t="shared" si="34"/>
        <v>6679753</v>
      </c>
      <c r="F150" s="18">
        <v>44344</v>
      </c>
      <c r="G150" s="11">
        <v>6183107</v>
      </c>
      <c r="H150" s="11">
        <v>2278705</v>
      </c>
      <c r="I150" s="11">
        <v>387230</v>
      </c>
      <c r="J150" s="11"/>
      <c r="K150" s="7">
        <f t="shared" si="35"/>
        <v>8849042</v>
      </c>
      <c r="M150" s="6">
        <v>44708</v>
      </c>
      <c r="N150" s="5">
        <v>10781505</v>
      </c>
      <c r="O150" s="5">
        <v>2861930</v>
      </c>
      <c r="P150" s="5">
        <v>167770</v>
      </c>
      <c r="Q150" s="5">
        <f t="shared" si="19"/>
        <v>13811205</v>
      </c>
      <c r="R150" s="5">
        <v>15500</v>
      </c>
      <c r="S150" s="5">
        <f t="shared" si="20"/>
        <v>13826705</v>
      </c>
      <c r="U150" s="6">
        <v>45072</v>
      </c>
      <c r="V150" s="8">
        <v>3167582</v>
      </c>
      <c r="W150" s="8">
        <v>1031240</v>
      </c>
      <c r="X150" s="8">
        <v>328280</v>
      </c>
      <c r="Y150" s="5">
        <f t="shared" si="37"/>
        <v>4527102</v>
      </c>
      <c r="Z150" s="5"/>
      <c r="AA150" s="8">
        <v>14900</v>
      </c>
      <c r="AB150" s="5">
        <f t="shared" si="38"/>
        <v>4542002</v>
      </c>
      <c r="AD150" s="6">
        <v>45437</v>
      </c>
      <c r="AE150" s="8">
        <v>1790469</v>
      </c>
      <c r="AF150" s="8">
        <v>917010</v>
      </c>
      <c r="AG150" s="8">
        <v>243980</v>
      </c>
      <c r="AH150" s="5">
        <f t="shared" si="40"/>
        <v>2951459</v>
      </c>
      <c r="AI150" s="5">
        <v>1440820</v>
      </c>
      <c r="AJ150" s="8">
        <v>0</v>
      </c>
      <c r="AK150" s="5">
        <f t="shared" si="41"/>
        <v>4392279</v>
      </c>
      <c r="AM150" s="6">
        <v>45803</v>
      </c>
      <c r="AN150" s="8">
        <v>9822322</v>
      </c>
      <c r="AO150" s="8">
        <v>2503680</v>
      </c>
      <c r="AP150" s="8">
        <v>463460</v>
      </c>
      <c r="AQ150" s="5">
        <f t="shared" si="43"/>
        <v>12789462</v>
      </c>
      <c r="AR150" s="5">
        <v>3343480</v>
      </c>
      <c r="AS150" s="5"/>
      <c r="AT150" s="8">
        <f t="shared" si="39"/>
        <v>3343480</v>
      </c>
      <c r="AU150" s="5"/>
      <c r="AV150" s="5">
        <f t="shared" si="44"/>
        <v>16132942</v>
      </c>
      <c r="AX150" s="6">
        <v>46169</v>
      </c>
      <c r="AY150" s="8">
        <v>3569810</v>
      </c>
      <c r="AZ150" s="8">
        <v>1031650</v>
      </c>
      <c r="BA150" s="8">
        <v>257320</v>
      </c>
      <c r="BB150" s="5">
        <f t="shared" si="45"/>
        <v>4858780</v>
      </c>
      <c r="BC150" s="5">
        <v>2962920</v>
      </c>
      <c r="BD150" s="5">
        <v>225300</v>
      </c>
      <c r="BE150" s="8">
        <f t="shared" si="42"/>
        <v>3188220</v>
      </c>
      <c r="BF150" s="5">
        <v>51000</v>
      </c>
      <c r="BG150" s="5">
        <f t="shared" si="36"/>
        <v>8098000</v>
      </c>
    </row>
    <row r="151" spans="1:59">
      <c r="A151" s="6">
        <v>43981</v>
      </c>
      <c r="B151" s="11">
        <v>2567559</v>
      </c>
      <c r="C151" s="11">
        <v>2059810</v>
      </c>
      <c r="D151" s="11">
        <f t="shared" si="34"/>
        <v>4627369</v>
      </c>
      <c r="F151" s="18">
        <v>44345</v>
      </c>
      <c r="G151" s="11">
        <v>4167741</v>
      </c>
      <c r="H151" s="11">
        <v>1543420</v>
      </c>
      <c r="I151" s="11">
        <v>219670</v>
      </c>
      <c r="J151" s="11"/>
      <c r="K151" s="7">
        <f t="shared" si="35"/>
        <v>5930831</v>
      </c>
      <c r="M151" s="6">
        <v>44709</v>
      </c>
      <c r="N151" s="5">
        <v>3955860</v>
      </c>
      <c r="O151" s="5">
        <v>1654180</v>
      </c>
      <c r="P151" s="5">
        <v>37800</v>
      </c>
      <c r="Q151" s="5">
        <f t="shared" si="19"/>
        <v>5647840</v>
      </c>
      <c r="R151" s="5">
        <v>124920</v>
      </c>
      <c r="S151" s="5">
        <f t="shared" si="20"/>
        <v>5772760</v>
      </c>
      <c r="U151" s="6">
        <v>45073</v>
      </c>
      <c r="V151" s="8">
        <v>2047208</v>
      </c>
      <c r="W151" s="8">
        <v>1070740</v>
      </c>
      <c r="X151" s="8">
        <v>206440</v>
      </c>
      <c r="Y151" s="5">
        <f t="shared" si="37"/>
        <v>3324388</v>
      </c>
      <c r="Z151" s="5"/>
      <c r="AA151" s="8">
        <v>0</v>
      </c>
      <c r="AB151" s="5">
        <f t="shared" si="38"/>
        <v>3324388</v>
      </c>
      <c r="AD151" s="6">
        <v>45438</v>
      </c>
      <c r="AE151" s="8">
        <v>1836410</v>
      </c>
      <c r="AF151" s="8">
        <v>1355530</v>
      </c>
      <c r="AG151" s="8">
        <v>247490</v>
      </c>
      <c r="AH151" s="5">
        <f t="shared" si="40"/>
        <v>3439430</v>
      </c>
      <c r="AI151" s="5">
        <v>1027980</v>
      </c>
      <c r="AJ151" s="8">
        <v>0</v>
      </c>
      <c r="AK151" s="5">
        <f t="shared" si="41"/>
        <v>4467410</v>
      </c>
      <c r="AM151" s="6">
        <v>45804</v>
      </c>
      <c r="AN151" s="8">
        <v>8209520</v>
      </c>
      <c r="AO151" s="8">
        <v>2215010</v>
      </c>
      <c r="AP151" s="8">
        <v>614200</v>
      </c>
      <c r="AQ151" s="5">
        <f t="shared" si="43"/>
        <v>11038730</v>
      </c>
      <c r="AR151" s="5">
        <v>1967200</v>
      </c>
      <c r="AS151" s="5"/>
      <c r="AT151" s="8">
        <f t="shared" si="39"/>
        <v>1967200</v>
      </c>
      <c r="AU151" s="5"/>
      <c r="AV151" s="5">
        <f t="shared" si="44"/>
        <v>13005930</v>
      </c>
      <c r="AX151" s="6">
        <v>46170</v>
      </c>
      <c r="AY151" s="8">
        <v>3246490</v>
      </c>
      <c r="AZ151" s="8">
        <v>973210</v>
      </c>
      <c r="BA151" s="8">
        <v>427470</v>
      </c>
      <c r="BB151" s="5">
        <f t="shared" si="45"/>
        <v>4647170</v>
      </c>
      <c r="BC151" s="5">
        <v>1688630</v>
      </c>
      <c r="BD151" s="5">
        <v>217080</v>
      </c>
      <c r="BE151" s="8">
        <f t="shared" si="42"/>
        <v>1905710</v>
      </c>
      <c r="BF151" s="5">
        <v>209410</v>
      </c>
      <c r="BG151" s="5">
        <f t="shared" si="36"/>
        <v>6762290</v>
      </c>
    </row>
    <row r="152" spans="1:59">
      <c r="A152" s="6">
        <v>43982</v>
      </c>
      <c r="B152" s="11">
        <v>3886433</v>
      </c>
      <c r="C152" s="11">
        <v>2483620</v>
      </c>
      <c r="D152" s="11">
        <f t="shared" si="34"/>
        <v>6370053</v>
      </c>
      <c r="F152" s="18">
        <v>44346</v>
      </c>
      <c r="G152" s="11">
        <v>2817407</v>
      </c>
      <c r="H152" s="11">
        <v>1390480</v>
      </c>
      <c r="I152" s="11">
        <v>528870</v>
      </c>
      <c r="J152" s="11"/>
      <c r="K152" s="7">
        <f t="shared" si="35"/>
        <v>4736757</v>
      </c>
      <c r="M152" s="6">
        <v>44710</v>
      </c>
      <c r="N152" s="5">
        <v>1608744</v>
      </c>
      <c r="O152" s="5">
        <v>1017700</v>
      </c>
      <c r="P152" s="5">
        <v>338640</v>
      </c>
      <c r="Q152" s="5">
        <f t="shared" si="19"/>
        <v>2965084</v>
      </c>
      <c r="R152" s="5">
        <v>85870</v>
      </c>
      <c r="S152" s="5">
        <f t="shared" si="20"/>
        <v>3050954</v>
      </c>
      <c r="U152" s="6">
        <v>45074</v>
      </c>
      <c r="V152" s="8">
        <v>2146916</v>
      </c>
      <c r="W152" s="8">
        <v>998870</v>
      </c>
      <c r="X152" s="8">
        <v>234120</v>
      </c>
      <c r="Y152" s="5">
        <f t="shared" si="37"/>
        <v>3379906</v>
      </c>
      <c r="Z152" s="5"/>
      <c r="AA152" s="8">
        <v>14900</v>
      </c>
      <c r="AB152" s="5">
        <f t="shared" si="38"/>
        <v>3394806</v>
      </c>
      <c r="AD152" s="6">
        <v>45439</v>
      </c>
      <c r="AE152" s="8">
        <v>15843918</v>
      </c>
      <c r="AF152" s="8">
        <v>1245350</v>
      </c>
      <c r="AG152" s="8">
        <v>251540</v>
      </c>
      <c r="AH152" s="5">
        <f t="shared" si="40"/>
        <v>17340808</v>
      </c>
      <c r="AI152" s="5">
        <v>2912840</v>
      </c>
      <c r="AJ152" s="8">
        <v>20400</v>
      </c>
      <c r="AK152" s="5">
        <f t="shared" si="41"/>
        <v>20274048</v>
      </c>
      <c r="AM152" s="6">
        <v>45805</v>
      </c>
      <c r="AN152" s="8">
        <v>9771724</v>
      </c>
      <c r="AO152" s="8">
        <v>2429040</v>
      </c>
      <c r="AP152" s="8">
        <v>703110</v>
      </c>
      <c r="AQ152" s="5">
        <f t="shared" si="43"/>
        <v>12903874</v>
      </c>
      <c r="AR152" s="5">
        <v>2551350</v>
      </c>
      <c r="AS152" s="5"/>
      <c r="AT152" s="8">
        <f t="shared" si="39"/>
        <v>2551350</v>
      </c>
      <c r="AU152" s="5"/>
      <c r="AV152" s="5">
        <f t="shared" si="44"/>
        <v>15455224</v>
      </c>
      <c r="AX152" s="6">
        <v>46171</v>
      </c>
      <c r="AY152" s="8">
        <v>16637840</v>
      </c>
      <c r="AZ152" s="8">
        <v>1184310</v>
      </c>
      <c r="BA152" s="8">
        <v>62000</v>
      </c>
      <c r="BB152" s="5">
        <f t="shared" si="45"/>
        <v>17884150</v>
      </c>
      <c r="BC152" s="5">
        <v>2309700</v>
      </c>
      <c r="BD152" s="5">
        <v>225300</v>
      </c>
      <c r="BE152" s="8">
        <f t="shared" si="42"/>
        <v>2535000</v>
      </c>
      <c r="BF152" s="5">
        <v>90740</v>
      </c>
      <c r="BG152" s="5">
        <f t="shared" si="36"/>
        <v>20509890</v>
      </c>
    </row>
    <row r="153" spans="1:59">
      <c r="A153" s="6">
        <v>43983</v>
      </c>
      <c r="B153" s="11">
        <v>6674317</v>
      </c>
      <c r="C153" s="11">
        <v>4644340</v>
      </c>
      <c r="D153" s="11">
        <f t="shared" si="34"/>
        <v>11318657</v>
      </c>
      <c r="F153" s="18">
        <v>44347</v>
      </c>
      <c r="G153" s="11">
        <v>8089027</v>
      </c>
      <c r="H153" s="11">
        <v>1881885</v>
      </c>
      <c r="I153" s="11">
        <v>433530</v>
      </c>
      <c r="J153" s="11"/>
      <c r="K153" s="7">
        <f t="shared" si="35"/>
        <v>10404442</v>
      </c>
      <c r="M153" s="6">
        <v>44711</v>
      </c>
      <c r="N153" s="5">
        <v>6668853</v>
      </c>
      <c r="O153" s="5">
        <v>3779410</v>
      </c>
      <c r="P153" s="5">
        <v>250610</v>
      </c>
      <c r="Q153" s="5">
        <f t="shared" si="19"/>
        <v>10698873</v>
      </c>
      <c r="R153" s="5">
        <v>173970</v>
      </c>
      <c r="S153" s="5">
        <f t="shared" si="20"/>
        <v>10872843</v>
      </c>
      <c r="U153" s="6">
        <v>45075</v>
      </c>
      <c r="V153" s="8">
        <v>3191609</v>
      </c>
      <c r="W153" s="8">
        <v>1753240</v>
      </c>
      <c r="X153" s="8">
        <v>258240</v>
      </c>
      <c r="Y153" s="5">
        <f t="shared" si="37"/>
        <v>5203089</v>
      </c>
      <c r="Z153" s="5"/>
      <c r="AA153" s="8">
        <v>14900</v>
      </c>
      <c r="AB153" s="5">
        <f t="shared" si="38"/>
        <v>5217989</v>
      </c>
      <c r="AD153" s="6">
        <v>45440</v>
      </c>
      <c r="AE153" s="8">
        <v>5026430</v>
      </c>
      <c r="AF153" s="8">
        <v>2533660</v>
      </c>
      <c r="AG153" s="8">
        <v>363970</v>
      </c>
      <c r="AH153" s="5">
        <f t="shared" si="40"/>
        <v>7924060</v>
      </c>
      <c r="AI153" s="5">
        <v>2328180</v>
      </c>
      <c r="AJ153" s="8">
        <v>16500</v>
      </c>
      <c r="AK153" s="5">
        <f t="shared" si="41"/>
        <v>10268740</v>
      </c>
      <c r="AM153" s="6">
        <v>45806</v>
      </c>
      <c r="AN153" s="8">
        <v>10429690</v>
      </c>
      <c r="AO153" s="8">
        <v>1523400</v>
      </c>
      <c r="AP153" s="8">
        <v>435540</v>
      </c>
      <c r="AQ153" s="5">
        <f>SUM(AN153:AP153)</f>
        <v>12388630</v>
      </c>
      <c r="AR153" s="5">
        <v>2684030</v>
      </c>
      <c r="AS153" s="5"/>
      <c r="AT153" s="8">
        <f t="shared" si="39"/>
        <v>2684030</v>
      </c>
      <c r="AU153" s="5"/>
      <c r="AV153" s="5">
        <f>AQ153+AT153</f>
        <v>15072660</v>
      </c>
      <c r="AX153" s="6">
        <v>46172</v>
      </c>
      <c r="AY153" s="8">
        <v>0</v>
      </c>
      <c r="AZ153" s="8">
        <v>0</v>
      </c>
      <c r="BA153" s="8">
        <v>0</v>
      </c>
      <c r="BB153" s="5">
        <f t="shared" si="45"/>
        <v>0</v>
      </c>
      <c r="BC153" s="5">
        <v>1807280</v>
      </c>
      <c r="BD153" s="5">
        <v>122280</v>
      </c>
      <c r="BE153" s="8">
        <f t="shared" si="42"/>
        <v>1929560</v>
      </c>
      <c r="BF153" s="5">
        <v>206500</v>
      </c>
      <c r="BG153" s="5">
        <f t="shared" si="36"/>
        <v>2136060</v>
      </c>
    </row>
    <row r="154" spans="1:59">
      <c r="A154" s="6">
        <v>43984</v>
      </c>
      <c r="B154" s="11">
        <v>11286663</v>
      </c>
      <c r="C154" s="11">
        <v>4826680</v>
      </c>
      <c r="D154" s="11">
        <f t="shared" si="34"/>
        <v>16113343</v>
      </c>
      <c r="F154" s="18">
        <v>44348</v>
      </c>
      <c r="G154" s="11">
        <v>16241058</v>
      </c>
      <c r="H154" s="11">
        <v>2524200</v>
      </c>
      <c r="I154" s="11">
        <v>612920</v>
      </c>
      <c r="J154" s="11"/>
      <c r="K154" s="7">
        <f t="shared" si="35"/>
        <v>19378178</v>
      </c>
      <c r="M154" s="6">
        <v>44712</v>
      </c>
      <c r="N154" s="23">
        <v>14062632</v>
      </c>
      <c r="O154" s="23">
        <v>4901640</v>
      </c>
      <c r="P154" s="23">
        <v>189460</v>
      </c>
      <c r="Q154" s="23">
        <f t="shared" si="19"/>
        <v>19153732</v>
      </c>
      <c r="R154" s="23">
        <v>35910</v>
      </c>
      <c r="S154" s="23">
        <f t="shared" si="20"/>
        <v>19189642</v>
      </c>
      <c r="U154" s="6">
        <v>45076</v>
      </c>
      <c r="V154" s="8">
        <v>9260688</v>
      </c>
      <c r="W154" s="8">
        <v>3109170</v>
      </c>
      <c r="X154" s="8">
        <v>594360</v>
      </c>
      <c r="Y154" s="5">
        <f t="shared" si="37"/>
        <v>12964218</v>
      </c>
      <c r="Z154" s="5"/>
      <c r="AA154" s="8">
        <v>28310</v>
      </c>
      <c r="AB154" s="5">
        <f t="shared" si="38"/>
        <v>12992528</v>
      </c>
      <c r="AD154" s="6">
        <v>45441</v>
      </c>
      <c r="AE154" s="8">
        <v>5864574</v>
      </c>
      <c r="AF154" s="8">
        <v>2090470</v>
      </c>
      <c r="AG154" s="8">
        <v>391790</v>
      </c>
      <c r="AH154" s="5">
        <f t="shared" si="40"/>
        <v>8346834</v>
      </c>
      <c r="AI154" s="5">
        <v>1737820</v>
      </c>
      <c r="AJ154" s="8">
        <v>0</v>
      </c>
      <c r="AK154" s="5">
        <f t="shared" si="41"/>
        <v>10084654</v>
      </c>
      <c r="AM154" s="6">
        <v>45807</v>
      </c>
      <c r="AN154" s="8">
        <v>9929495</v>
      </c>
      <c r="AO154" s="8">
        <v>2057870</v>
      </c>
      <c r="AP154" s="8">
        <v>340050</v>
      </c>
      <c r="AQ154" s="5">
        <f t="shared" ref="AQ154:AQ217" si="46">SUM(AN154:AP154)</f>
        <v>12327415</v>
      </c>
      <c r="AR154" s="5">
        <v>2373060</v>
      </c>
      <c r="AS154" s="5"/>
      <c r="AT154" s="8">
        <f t="shared" si="39"/>
        <v>2373060</v>
      </c>
      <c r="AU154" s="5"/>
      <c r="AV154" s="5">
        <f t="shared" ref="AV154:AV210" si="47">AQ154+AT154</f>
        <v>14700475</v>
      </c>
      <c r="AX154" s="6">
        <v>46173</v>
      </c>
      <c r="AY154" s="8">
        <v>13644610</v>
      </c>
      <c r="AZ154" s="8">
        <v>1580830</v>
      </c>
      <c r="BA154" s="8">
        <v>0</v>
      </c>
      <c r="BB154" s="5">
        <f t="shared" si="45"/>
        <v>15225440</v>
      </c>
      <c r="BC154" s="5">
        <v>2242390</v>
      </c>
      <c r="BD154" s="5">
        <v>361380</v>
      </c>
      <c r="BE154" s="8">
        <f t="shared" si="42"/>
        <v>2603770</v>
      </c>
      <c r="BF154" s="5">
        <v>125000</v>
      </c>
      <c r="BG154" s="5">
        <f t="shared" si="36"/>
        <v>17954210</v>
      </c>
    </row>
    <row r="155" spans="1:59">
      <c r="A155" s="6">
        <v>43985</v>
      </c>
      <c r="B155" s="8">
        <v>12250644</v>
      </c>
      <c r="C155" s="8">
        <v>5377000</v>
      </c>
      <c r="D155" s="11">
        <f t="shared" si="34"/>
        <v>17627644</v>
      </c>
      <c r="F155" s="18">
        <v>44349</v>
      </c>
      <c r="G155" s="5">
        <v>12109346</v>
      </c>
      <c r="H155" s="5">
        <v>2120000</v>
      </c>
      <c r="I155" s="8">
        <v>640220</v>
      </c>
      <c r="K155" s="7">
        <f t="shared" si="35"/>
        <v>14869566</v>
      </c>
      <c r="M155" s="6">
        <v>44713</v>
      </c>
      <c r="N155" s="5">
        <v>86652</v>
      </c>
      <c r="O155" s="5">
        <v>446540</v>
      </c>
      <c r="P155" s="5">
        <v>289090</v>
      </c>
      <c r="Q155" s="5">
        <f t="shared" si="19"/>
        <v>822282</v>
      </c>
      <c r="R155" s="5">
        <v>52100</v>
      </c>
      <c r="S155" s="5">
        <f t="shared" si="20"/>
        <v>874382</v>
      </c>
      <c r="U155" s="6">
        <v>45077</v>
      </c>
      <c r="V155" s="17">
        <v>12984266</v>
      </c>
      <c r="W155" s="17">
        <v>5338610</v>
      </c>
      <c r="X155" s="17">
        <v>280370</v>
      </c>
      <c r="Y155" s="26">
        <f t="shared" si="37"/>
        <v>18603246</v>
      </c>
      <c r="Z155" s="26"/>
      <c r="AA155" s="17">
        <v>14900</v>
      </c>
      <c r="AB155" s="26">
        <f t="shared" si="38"/>
        <v>18618146</v>
      </c>
      <c r="AD155" s="6">
        <v>45442</v>
      </c>
      <c r="AE155" s="17">
        <v>7955814</v>
      </c>
      <c r="AF155" s="17">
        <v>2382840</v>
      </c>
      <c r="AG155" s="17">
        <v>206050</v>
      </c>
      <c r="AH155" s="5">
        <f t="shared" si="40"/>
        <v>10544704</v>
      </c>
      <c r="AI155" s="26">
        <v>1872280</v>
      </c>
      <c r="AJ155" s="8">
        <v>20400</v>
      </c>
      <c r="AK155" s="5">
        <f t="shared" si="41"/>
        <v>12437384</v>
      </c>
      <c r="AM155" s="6">
        <v>45808</v>
      </c>
      <c r="AN155" s="17">
        <v>3698286</v>
      </c>
      <c r="AO155" s="17">
        <v>755860</v>
      </c>
      <c r="AP155" s="17">
        <v>382350</v>
      </c>
      <c r="AQ155" s="5">
        <f t="shared" si="46"/>
        <v>4836496</v>
      </c>
      <c r="AR155" s="26">
        <v>2327110</v>
      </c>
      <c r="AS155" s="5"/>
      <c r="AT155" s="8">
        <f t="shared" si="39"/>
        <v>2327110</v>
      </c>
      <c r="AU155" s="26"/>
      <c r="AV155" s="5">
        <f t="shared" si="47"/>
        <v>7163606</v>
      </c>
      <c r="AX155" s="41">
        <v>46174</v>
      </c>
      <c r="AY155" s="27">
        <v>24873336</v>
      </c>
      <c r="AZ155" s="27">
        <v>3772490</v>
      </c>
      <c r="BA155" s="42">
        <v>349840</v>
      </c>
      <c r="BB155" s="20">
        <f t="shared" si="45"/>
        <v>28995666</v>
      </c>
      <c r="BC155" s="43">
        <v>761390</v>
      </c>
      <c r="BD155" s="20">
        <v>0</v>
      </c>
      <c r="BE155" s="27">
        <f t="shared" si="42"/>
        <v>761390</v>
      </c>
      <c r="BF155" s="43">
        <v>401880</v>
      </c>
      <c r="BG155" s="20">
        <f>BB155+BE155+BF155</f>
        <v>30158936</v>
      </c>
    </row>
    <row r="156" spans="1:59">
      <c r="A156" s="6">
        <v>43986</v>
      </c>
      <c r="B156" s="8">
        <v>5281074</v>
      </c>
      <c r="C156" s="8">
        <v>5193240</v>
      </c>
      <c r="D156" s="11">
        <f t="shared" si="34"/>
        <v>10474314</v>
      </c>
      <c r="F156" s="18">
        <v>44350</v>
      </c>
      <c r="G156" s="5">
        <v>11767427</v>
      </c>
      <c r="H156" s="5">
        <v>2828470</v>
      </c>
      <c r="I156" s="8">
        <v>530220</v>
      </c>
      <c r="K156" s="7">
        <f t="shared" si="35"/>
        <v>15126117</v>
      </c>
      <c r="M156" s="6">
        <v>44714</v>
      </c>
      <c r="N156" s="5">
        <v>11373907</v>
      </c>
      <c r="O156" s="5">
        <v>4663970</v>
      </c>
      <c r="P156" s="5">
        <v>115630</v>
      </c>
      <c r="Q156" s="5">
        <f t="shared" si="19"/>
        <v>16153507</v>
      </c>
      <c r="R156" s="5">
        <v>85440</v>
      </c>
      <c r="S156" s="5">
        <f t="shared" si="20"/>
        <v>16238947</v>
      </c>
      <c r="U156" s="6">
        <v>45078</v>
      </c>
      <c r="V156" s="8">
        <v>12435076</v>
      </c>
      <c r="W156" s="8">
        <v>4512050</v>
      </c>
      <c r="X156" s="8">
        <v>370090</v>
      </c>
      <c r="Y156" s="26">
        <f t="shared" si="37"/>
        <v>17317216</v>
      </c>
      <c r="Z156" s="26"/>
      <c r="AA156" s="8">
        <v>44700</v>
      </c>
      <c r="AB156" s="26">
        <f t="shared" si="38"/>
        <v>17361916</v>
      </c>
      <c r="AD156" s="6">
        <v>45443</v>
      </c>
      <c r="AE156" s="8">
        <v>4660783</v>
      </c>
      <c r="AF156" s="8">
        <v>804840</v>
      </c>
      <c r="AG156" s="8">
        <v>195240</v>
      </c>
      <c r="AH156" s="5">
        <f t="shared" si="40"/>
        <v>5660863</v>
      </c>
      <c r="AI156" s="26">
        <v>1814100</v>
      </c>
      <c r="AJ156" s="8">
        <v>0</v>
      </c>
      <c r="AK156" s="5">
        <f t="shared" si="41"/>
        <v>7474963</v>
      </c>
      <c r="AM156" s="6">
        <v>45809</v>
      </c>
      <c r="AN156" s="8">
        <v>2347412</v>
      </c>
      <c r="AO156" s="8">
        <v>1363890</v>
      </c>
      <c r="AP156" s="8">
        <v>493440</v>
      </c>
      <c r="AQ156" s="5">
        <f t="shared" si="46"/>
        <v>4204742</v>
      </c>
      <c r="AR156" s="26">
        <v>6561790</v>
      </c>
      <c r="AS156" s="5"/>
      <c r="AT156" s="8">
        <f t="shared" si="39"/>
        <v>6561790</v>
      </c>
      <c r="AU156" s="26"/>
      <c r="AV156" s="5">
        <f t="shared" si="47"/>
        <v>10766532</v>
      </c>
      <c r="AX156" s="6">
        <v>46175</v>
      </c>
      <c r="AY156" s="8">
        <v>7570574</v>
      </c>
      <c r="AZ156" s="8">
        <v>1072270</v>
      </c>
      <c r="BA156" s="8">
        <v>116380</v>
      </c>
      <c r="BB156" s="5">
        <f t="shared" si="45"/>
        <v>8759224</v>
      </c>
      <c r="BC156" s="26">
        <v>376785</v>
      </c>
      <c r="BD156" s="5">
        <v>73300</v>
      </c>
      <c r="BE156" s="8">
        <f t="shared" si="42"/>
        <v>450085</v>
      </c>
      <c r="BF156" s="26">
        <v>329250</v>
      </c>
      <c r="BG156" s="5">
        <f>BB156+BE156+BF156</f>
        <v>9538559</v>
      </c>
    </row>
    <row r="157" spans="1:59">
      <c r="A157" s="6">
        <v>43987</v>
      </c>
      <c r="B157" s="8">
        <v>3968764</v>
      </c>
      <c r="C157" s="8">
        <v>2883020</v>
      </c>
      <c r="D157" s="11">
        <f t="shared" si="34"/>
        <v>6851784</v>
      </c>
      <c r="F157" s="18">
        <v>44351</v>
      </c>
      <c r="G157" s="5">
        <v>4701616</v>
      </c>
      <c r="H157" s="5">
        <v>1567660</v>
      </c>
      <c r="I157" s="8">
        <v>497040</v>
      </c>
      <c r="K157" s="7">
        <f t="shared" si="35"/>
        <v>6766316</v>
      </c>
      <c r="M157" s="6">
        <v>44715</v>
      </c>
      <c r="N157" s="5">
        <v>5754552</v>
      </c>
      <c r="O157" s="5">
        <v>2980930</v>
      </c>
      <c r="P157" s="5">
        <v>232240</v>
      </c>
      <c r="Q157" s="5">
        <f t="shared" si="19"/>
        <v>8967722</v>
      </c>
      <c r="R157" s="5">
        <v>35400</v>
      </c>
      <c r="S157" s="5">
        <f t="shared" si="20"/>
        <v>9003122</v>
      </c>
      <c r="U157" s="6">
        <v>45079</v>
      </c>
      <c r="V157" s="8">
        <v>2765038</v>
      </c>
      <c r="W157" s="8">
        <v>1756140</v>
      </c>
      <c r="X157" s="8">
        <v>234210</v>
      </c>
      <c r="Y157" s="26">
        <f t="shared" si="37"/>
        <v>4755388</v>
      </c>
      <c r="Z157" s="26"/>
      <c r="AA157" s="8">
        <v>43700</v>
      </c>
      <c r="AB157" s="26">
        <f t="shared" si="38"/>
        <v>4799088</v>
      </c>
      <c r="AD157" s="6">
        <v>45444</v>
      </c>
      <c r="AE157" s="8">
        <v>1548973</v>
      </c>
      <c r="AF157" s="8">
        <v>524940</v>
      </c>
      <c r="AG157" s="8">
        <v>195100</v>
      </c>
      <c r="AH157" s="5">
        <f t="shared" si="40"/>
        <v>2269013</v>
      </c>
      <c r="AI157" s="26">
        <v>713680</v>
      </c>
      <c r="AJ157" s="8">
        <v>36900</v>
      </c>
      <c r="AK157" s="5">
        <f t="shared" si="41"/>
        <v>3019593</v>
      </c>
      <c r="AM157" s="6">
        <v>45810</v>
      </c>
      <c r="AN157" s="8">
        <v>29897171</v>
      </c>
      <c r="AO157" s="8">
        <v>5179610</v>
      </c>
      <c r="AP157" s="8">
        <v>520700</v>
      </c>
      <c r="AQ157" s="5">
        <f>SUM(AN157:AP157)</f>
        <v>35597481</v>
      </c>
      <c r="AR157" s="26">
        <v>907470</v>
      </c>
      <c r="AS157" s="5"/>
      <c r="AT157" s="8">
        <f t="shared" si="39"/>
        <v>907470</v>
      </c>
      <c r="AU157" s="26"/>
      <c r="AV157" s="5">
        <f t="shared" si="47"/>
        <v>36504951</v>
      </c>
      <c r="AX157" s="6">
        <v>46176</v>
      </c>
      <c r="AY157" s="8">
        <v>6231250</v>
      </c>
      <c r="AZ157" s="8">
        <v>690520</v>
      </c>
      <c r="BA157" s="8">
        <v>325690</v>
      </c>
      <c r="BB157" s="5">
        <f t="shared" si="45"/>
        <v>7247460</v>
      </c>
      <c r="BC157" s="26">
        <v>588700</v>
      </c>
      <c r="BD157" s="5">
        <v>173500</v>
      </c>
      <c r="BE157" s="8">
        <f t="shared" si="42"/>
        <v>762200</v>
      </c>
      <c r="BF157" s="26">
        <v>148500</v>
      </c>
      <c r="BG157" s="5">
        <f>BB157+BE157+BF157</f>
        <v>8158160</v>
      </c>
    </row>
    <row r="158" spans="1:59">
      <c r="A158" s="6">
        <v>43988</v>
      </c>
      <c r="B158" s="8">
        <v>295006</v>
      </c>
      <c r="C158" s="8">
        <v>169580</v>
      </c>
      <c r="D158" s="11">
        <f t="shared" si="34"/>
        <v>464586</v>
      </c>
      <c r="F158" s="18">
        <v>44352</v>
      </c>
      <c r="G158" s="5">
        <v>2468261</v>
      </c>
      <c r="H158" s="5">
        <v>1028380</v>
      </c>
      <c r="I158" s="8">
        <v>270710</v>
      </c>
      <c r="K158" s="7">
        <f t="shared" si="35"/>
        <v>3767351</v>
      </c>
      <c r="M158" s="6">
        <v>44716</v>
      </c>
      <c r="N158" s="5">
        <v>2011770</v>
      </c>
      <c r="O158" s="5">
        <v>1207880</v>
      </c>
      <c r="P158" s="5">
        <v>136710</v>
      </c>
      <c r="Q158" s="5">
        <f t="shared" si="19"/>
        <v>3356360</v>
      </c>
      <c r="R158" s="5">
        <v>0</v>
      </c>
      <c r="S158" s="5">
        <f t="shared" si="20"/>
        <v>3356360</v>
      </c>
      <c r="U158" s="6">
        <v>45080</v>
      </c>
      <c r="V158" s="8">
        <v>1127141</v>
      </c>
      <c r="W158" s="8">
        <v>756710</v>
      </c>
      <c r="X158" s="8">
        <v>202550</v>
      </c>
      <c r="Y158" s="26">
        <f t="shared" si="37"/>
        <v>2086401</v>
      </c>
      <c r="Z158" s="26"/>
      <c r="AA158" s="8">
        <v>40310</v>
      </c>
      <c r="AB158" s="26">
        <f t="shared" si="38"/>
        <v>2126711</v>
      </c>
      <c r="AD158" s="6">
        <v>45445</v>
      </c>
      <c r="AE158" s="8">
        <v>1046763</v>
      </c>
      <c r="AF158" s="8">
        <v>474450</v>
      </c>
      <c r="AG158" s="8">
        <v>209750</v>
      </c>
      <c r="AH158" s="5">
        <f t="shared" si="40"/>
        <v>1730963</v>
      </c>
      <c r="AI158" s="26">
        <v>853840</v>
      </c>
      <c r="AJ158" s="8">
        <v>0</v>
      </c>
      <c r="AK158" s="5">
        <f t="shared" si="41"/>
        <v>2584803</v>
      </c>
      <c r="AM158" s="6">
        <v>45811</v>
      </c>
      <c r="AN158" s="8">
        <v>7538509</v>
      </c>
      <c r="AO158" s="8">
        <v>2390430</v>
      </c>
      <c r="AP158" s="8">
        <v>298790</v>
      </c>
      <c r="AQ158" s="5">
        <f t="shared" si="46"/>
        <v>10227729</v>
      </c>
      <c r="AR158" s="26">
        <v>717520</v>
      </c>
      <c r="AS158" s="5"/>
      <c r="AT158" s="8">
        <f t="shared" si="39"/>
        <v>717520</v>
      </c>
      <c r="AU158" s="26"/>
      <c r="AV158" s="5">
        <f t="shared" si="47"/>
        <v>10945249</v>
      </c>
      <c r="AX158" s="6">
        <v>46177</v>
      </c>
      <c r="AY158" s="8">
        <v>6510301</v>
      </c>
      <c r="AZ158" s="8">
        <v>1469480</v>
      </c>
      <c r="BA158" s="8">
        <v>226930</v>
      </c>
      <c r="BB158" s="5">
        <f t="shared" si="45"/>
        <v>8206711</v>
      </c>
      <c r="BC158" s="26">
        <v>813556</v>
      </c>
      <c r="BD158" s="5">
        <v>179580</v>
      </c>
      <c r="BE158" s="8">
        <f t="shared" si="42"/>
        <v>993136</v>
      </c>
      <c r="BF158" s="26">
        <v>78500</v>
      </c>
      <c r="BG158" s="5">
        <f t="shared" ref="BG158:BG219" si="48">BB158+BE158+BF158</f>
        <v>9278347</v>
      </c>
    </row>
    <row r="159" spans="1:59">
      <c r="A159" s="6">
        <v>43989</v>
      </c>
      <c r="B159" s="8">
        <v>6532940</v>
      </c>
      <c r="C159" s="8">
        <v>4557000</v>
      </c>
      <c r="D159" s="11">
        <f t="shared" si="34"/>
        <v>11089940</v>
      </c>
      <c r="F159" s="18">
        <v>44353</v>
      </c>
      <c r="G159" s="5">
        <v>3635089</v>
      </c>
      <c r="H159" s="5">
        <v>1017000</v>
      </c>
      <c r="I159" s="8">
        <v>357370</v>
      </c>
      <c r="K159" s="7">
        <f t="shared" si="35"/>
        <v>5009459</v>
      </c>
      <c r="M159" s="6">
        <v>44717</v>
      </c>
      <c r="N159" s="5">
        <v>1831741</v>
      </c>
      <c r="O159" s="5">
        <v>1181641</v>
      </c>
      <c r="P159" s="5">
        <v>269760</v>
      </c>
      <c r="Q159" s="5">
        <f t="shared" si="19"/>
        <v>3283142</v>
      </c>
      <c r="R159" s="5">
        <v>69030</v>
      </c>
      <c r="S159" s="5">
        <f t="shared" si="20"/>
        <v>3352172</v>
      </c>
      <c r="U159" s="6">
        <v>45081</v>
      </c>
      <c r="V159" s="8">
        <v>1132808</v>
      </c>
      <c r="W159" s="8">
        <v>1088740</v>
      </c>
      <c r="X159" s="8">
        <v>444780</v>
      </c>
      <c r="Y159" s="26">
        <f t="shared" si="37"/>
        <v>2666328</v>
      </c>
      <c r="Z159" s="26"/>
      <c r="AA159" s="8">
        <v>14900</v>
      </c>
      <c r="AB159" s="26">
        <f t="shared" si="38"/>
        <v>2681228</v>
      </c>
      <c r="AD159" s="6">
        <v>45446</v>
      </c>
      <c r="AE159" s="8">
        <v>13317222</v>
      </c>
      <c r="AF159" s="8">
        <v>1976880</v>
      </c>
      <c r="AG159" s="8">
        <v>526620</v>
      </c>
      <c r="AH159" s="5">
        <f t="shared" si="40"/>
        <v>15820722</v>
      </c>
      <c r="AI159" s="26">
        <v>4378400</v>
      </c>
      <c r="AJ159" s="8">
        <v>0</v>
      </c>
      <c r="AK159" s="5">
        <f t="shared" si="41"/>
        <v>20199122</v>
      </c>
      <c r="AM159" s="6">
        <v>45812</v>
      </c>
      <c r="AN159" s="8">
        <v>7799608</v>
      </c>
      <c r="AO159" s="8">
        <v>1905380</v>
      </c>
      <c r="AP159" s="8">
        <v>756440</v>
      </c>
      <c r="AQ159" s="5">
        <f t="shared" si="46"/>
        <v>10461428</v>
      </c>
      <c r="AR159" s="26">
        <v>965340</v>
      </c>
      <c r="AS159" s="5"/>
      <c r="AT159" s="8">
        <f t="shared" si="39"/>
        <v>965340</v>
      </c>
      <c r="AU159" s="26"/>
      <c r="AV159" s="5">
        <f t="shared" si="47"/>
        <v>11426768</v>
      </c>
      <c r="AX159" s="6">
        <v>46178</v>
      </c>
      <c r="AY159" s="8">
        <v>5417580</v>
      </c>
      <c r="AZ159" s="8">
        <v>1034650</v>
      </c>
      <c r="BA159" s="8">
        <v>169060</v>
      </c>
      <c r="BB159" s="5">
        <f t="shared" si="45"/>
        <v>6621290</v>
      </c>
      <c r="BC159" s="26">
        <v>583780</v>
      </c>
      <c r="BD159" s="5">
        <v>89700</v>
      </c>
      <c r="BE159" s="8">
        <f t="shared" si="42"/>
        <v>673480</v>
      </c>
      <c r="BF159" s="26">
        <v>5062440</v>
      </c>
      <c r="BG159" s="5">
        <f t="shared" si="48"/>
        <v>12357210</v>
      </c>
    </row>
    <row r="160" spans="1:59">
      <c r="A160" s="6">
        <v>43990</v>
      </c>
      <c r="B160" s="8">
        <v>4162491</v>
      </c>
      <c r="C160" s="8">
        <v>3341630</v>
      </c>
      <c r="D160" s="11">
        <f t="shared" si="34"/>
        <v>7504121</v>
      </c>
      <c r="F160" s="18">
        <v>44354</v>
      </c>
      <c r="G160" s="5">
        <v>5082687</v>
      </c>
      <c r="H160" s="5">
        <v>2284345</v>
      </c>
      <c r="I160" s="8">
        <v>428700</v>
      </c>
      <c r="K160" s="7">
        <f t="shared" si="35"/>
        <v>7795732</v>
      </c>
      <c r="M160" s="6">
        <v>44718</v>
      </c>
      <c r="N160" s="5">
        <v>2768721</v>
      </c>
      <c r="O160" s="5">
        <v>1569100</v>
      </c>
      <c r="P160" s="5">
        <v>230890</v>
      </c>
      <c r="Q160" s="5">
        <f t="shared" si="19"/>
        <v>4568711</v>
      </c>
      <c r="R160" s="5">
        <v>35400</v>
      </c>
      <c r="S160" s="5">
        <f t="shared" si="20"/>
        <v>4604111</v>
      </c>
      <c r="U160" s="6">
        <v>45082</v>
      </c>
      <c r="V160" s="8">
        <v>7319148</v>
      </c>
      <c r="W160" s="8">
        <v>2766560</v>
      </c>
      <c r="X160" s="8">
        <v>778530</v>
      </c>
      <c r="Y160" s="26">
        <f t="shared" si="37"/>
        <v>10864238</v>
      </c>
      <c r="Z160" s="26"/>
      <c r="AA160" s="8">
        <v>44700</v>
      </c>
      <c r="AB160" s="26">
        <f t="shared" si="38"/>
        <v>10908938</v>
      </c>
      <c r="AD160" s="6">
        <v>45447</v>
      </c>
      <c r="AE160" s="8">
        <v>9772252</v>
      </c>
      <c r="AF160" s="8">
        <v>2659678</v>
      </c>
      <c r="AG160" s="8">
        <v>185260</v>
      </c>
      <c r="AH160" s="5">
        <f t="shared" si="40"/>
        <v>12617190</v>
      </c>
      <c r="AI160" s="26">
        <v>2210280</v>
      </c>
      <c r="AJ160" s="8">
        <v>0</v>
      </c>
      <c r="AK160" s="5">
        <f t="shared" si="41"/>
        <v>14827470</v>
      </c>
      <c r="AM160" s="6">
        <v>45813</v>
      </c>
      <c r="AN160" s="8">
        <v>5364328</v>
      </c>
      <c r="AO160" s="8">
        <v>1957730</v>
      </c>
      <c r="AP160" s="8">
        <v>313600</v>
      </c>
      <c r="AQ160" s="5">
        <f t="shared" si="46"/>
        <v>7635658</v>
      </c>
      <c r="AR160" s="26">
        <v>376480</v>
      </c>
      <c r="AS160" s="5"/>
      <c r="AT160" s="8">
        <f t="shared" si="39"/>
        <v>376480</v>
      </c>
      <c r="AU160" s="26"/>
      <c r="AV160" s="5">
        <f t="shared" si="47"/>
        <v>8012138</v>
      </c>
      <c r="AX160" s="6">
        <v>46179</v>
      </c>
      <c r="AY160" s="8">
        <v>4032494</v>
      </c>
      <c r="AZ160" s="8">
        <v>472300</v>
      </c>
      <c r="BA160" s="8">
        <v>228180</v>
      </c>
      <c r="BB160" s="5">
        <f t="shared" si="45"/>
        <v>4732974</v>
      </c>
      <c r="BC160" s="26">
        <v>445570</v>
      </c>
      <c r="BD160" s="5">
        <v>67800</v>
      </c>
      <c r="BE160" s="8">
        <f t="shared" si="42"/>
        <v>513370</v>
      </c>
      <c r="BF160" s="26">
        <v>1603280</v>
      </c>
      <c r="BG160" s="5">
        <f t="shared" si="48"/>
        <v>6849624</v>
      </c>
    </row>
    <row r="161" spans="1:59">
      <c r="A161" s="6">
        <v>43991</v>
      </c>
      <c r="B161" s="8">
        <v>12016026</v>
      </c>
      <c r="C161" s="8">
        <v>4734190</v>
      </c>
      <c r="D161" s="11">
        <f t="shared" si="34"/>
        <v>16750216</v>
      </c>
      <c r="F161" s="18">
        <v>44355</v>
      </c>
      <c r="G161" s="5">
        <v>13588607</v>
      </c>
      <c r="H161" s="5">
        <v>3380344</v>
      </c>
      <c r="I161" s="8">
        <v>427360</v>
      </c>
      <c r="K161" s="7">
        <f t="shared" si="35"/>
        <v>17396311</v>
      </c>
      <c r="M161" s="6">
        <v>44719</v>
      </c>
      <c r="N161" s="5">
        <v>6431927</v>
      </c>
      <c r="O161" s="5">
        <v>3046450</v>
      </c>
      <c r="P161" s="5">
        <v>238520</v>
      </c>
      <c r="Q161" s="5">
        <f t="shared" si="19"/>
        <v>9716897</v>
      </c>
      <c r="R161" s="5">
        <v>67600</v>
      </c>
      <c r="S161" s="5">
        <f t="shared" si="20"/>
        <v>9784497</v>
      </c>
      <c r="U161" s="6">
        <v>45083</v>
      </c>
      <c r="V161" s="8">
        <v>1787058</v>
      </c>
      <c r="W161" s="8">
        <v>783220</v>
      </c>
      <c r="X161" s="8">
        <v>379300</v>
      </c>
      <c r="Y161" s="26">
        <f t="shared" si="37"/>
        <v>2949578</v>
      </c>
      <c r="Z161" s="26"/>
      <c r="AA161" s="8">
        <v>14900</v>
      </c>
      <c r="AB161" s="26">
        <f t="shared" si="38"/>
        <v>2964478</v>
      </c>
      <c r="AD161" s="6">
        <v>45448</v>
      </c>
      <c r="AE161" s="8">
        <v>11379518</v>
      </c>
      <c r="AF161" s="8">
        <v>2421620</v>
      </c>
      <c r="AG161" s="8">
        <v>222210</v>
      </c>
      <c r="AH161" s="5">
        <f t="shared" si="40"/>
        <v>14023348</v>
      </c>
      <c r="AI161" s="26">
        <v>1629800</v>
      </c>
      <c r="AJ161" s="8">
        <v>0</v>
      </c>
      <c r="AK161" s="5">
        <f t="shared" si="41"/>
        <v>15653148</v>
      </c>
      <c r="AM161" s="6">
        <v>45814</v>
      </c>
      <c r="AN161" s="8">
        <v>3949055</v>
      </c>
      <c r="AO161" s="8">
        <v>1014140</v>
      </c>
      <c r="AP161" s="8">
        <v>181710</v>
      </c>
      <c r="AQ161" s="5">
        <f t="shared" si="46"/>
        <v>5144905</v>
      </c>
      <c r="AR161" s="26">
        <v>657520</v>
      </c>
      <c r="AS161" s="5"/>
      <c r="AT161" s="8">
        <f t="shared" si="39"/>
        <v>657520</v>
      </c>
      <c r="AU161" s="26"/>
      <c r="AV161" s="5">
        <f t="shared" si="47"/>
        <v>5802425</v>
      </c>
      <c r="AX161" s="6">
        <v>46180</v>
      </c>
      <c r="AY161" s="8">
        <v>4391030</v>
      </c>
      <c r="AZ161" s="8">
        <v>1153640</v>
      </c>
      <c r="BA161" s="8">
        <v>254500</v>
      </c>
      <c r="BB161" s="5">
        <f t="shared" si="45"/>
        <v>5799170</v>
      </c>
      <c r="BC161" s="26">
        <v>521680</v>
      </c>
      <c r="BD161" s="5">
        <v>163180</v>
      </c>
      <c r="BE161" s="8">
        <f t="shared" si="42"/>
        <v>684860</v>
      </c>
      <c r="BF161" s="26">
        <v>1181225</v>
      </c>
      <c r="BG161" s="5">
        <f t="shared" si="48"/>
        <v>7665255</v>
      </c>
    </row>
    <row r="162" spans="1:59">
      <c r="A162" s="6">
        <v>43992</v>
      </c>
      <c r="B162" s="8">
        <v>10409396</v>
      </c>
      <c r="C162" s="8">
        <v>5205850</v>
      </c>
      <c r="D162" s="11">
        <f t="shared" si="34"/>
        <v>15615246</v>
      </c>
      <c r="F162" s="18">
        <v>44356</v>
      </c>
      <c r="G162" s="5">
        <v>13806958</v>
      </c>
      <c r="H162" s="5">
        <v>3958225</v>
      </c>
      <c r="I162" s="8">
        <v>227370</v>
      </c>
      <c r="K162" s="7">
        <f t="shared" si="35"/>
        <v>17992553</v>
      </c>
      <c r="M162" s="6">
        <v>44720</v>
      </c>
      <c r="N162" s="5">
        <v>5314844</v>
      </c>
      <c r="O162" s="5">
        <v>3256270</v>
      </c>
      <c r="P162" s="5">
        <v>442010</v>
      </c>
      <c r="Q162" s="5">
        <f t="shared" si="19"/>
        <v>9013124</v>
      </c>
      <c r="R162" s="5">
        <v>144600</v>
      </c>
      <c r="S162" s="5">
        <f t="shared" si="20"/>
        <v>9157724</v>
      </c>
      <c r="U162" s="6">
        <v>45084</v>
      </c>
      <c r="V162" s="8">
        <v>6453551</v>
      </c>
      <c r="W162" s="8">
        <v>2357070</v>
      </c>
      <c r="X162" s="8">
        <v>435880</v>
      </c>
      <c r="Y162" s="26">
        <f t="shared" si="37"/>
        <v>9246501</v>
      </c>
      <c r="Z162" s="26"/>
      <c r="AA162" s="8">
        <v>0</v>
      </c>
      <c r="AB162" s="26">
        <f t="shared" si="38"/>
        <v>9246501</v>
      </c>
      <c r="AD162" s="6">
        <v>45449</v>
      </c>
      <c r="AE162" s="8">
        <v>865983</v>
      </c>
      <c r="AF162" s="8">
        <v>486650</v>
      </c>
      <c r="AG162" s="8">
        <v>203530</v>
      </c>
      <c r="AH162" s="5">
        <f t="shared" si="40"/>
        <v>1556163</v>
      </c>
      <c r="AI162" s="26">
        <v>955780</v>
      </c>
      <c r="AJ162" s="8">
        <v>0</v>
      </c>
      <c r="AK162" s="5">
        <f t="shared" si="41"/>
        <v>2511943</v>
      </c>
      <c r="AM162" s="6">
        <v>45815</v>
      </c>
      <c r="AN162" s="8">
        <v>3976495</v>
      </c>
      <c r="AO162" s="8">
        <v>1253160</v>
      </c>
      <c r="AP162" s="8">
        <v>191290</v>
      </c>
      <c r="AQ162" s="5">
        <f t="shared" si="46"/>
        <v>5420945</v>
      </c>
      <c r="AR162" s="26">
        <v>512000</v>
      </c>
      <c r="AS162" s="5"/>
      <c r="AT162" s="8">
        <f t="shared" si="39"/>
        <v>512000</v>
      </c>
      <c r="AU162" s="26"/>
      <c r="AV162" s="5">
        <f t="shared" si="47"/>
        <v>5932945</v>
      </c>
      <c r="AX162" s="41">
        <v>46181</v>
      </c>
      <c r="AY162" s="27">
        <v>5861710</v>
      </c>
      <c r="AZ162" s="27">
        <v>981170</v>
      </c>
      <c r="BA162" s="27">
        <v>240890</v>
      </c>
      <c r="BB162" s="20">
        <f t="shared" si="45"/>
        <v>7083770</v>
      </c>
      <c r="BC162" s="43">
        <v>1048475</v>
      </c>
      <c r="BD162" s="20">
        <v>276270</v>
      </c>
      <c r="BE162" s="27">
        <f t="shared" si="42"/>
        <v>1324745</v>
      </c>
      <c r="BF162" s="43">
        <v>3352715</v>
      </c>
      <c r="BG162" s="20">
        <f t="shared" si="48"/>
        <v>11761230</v>
      </c>
    </row>
    <row r="163" spans="1:59">
      <c r="A163" s="6">
        <v>43993</v>
      </c>
      <c r="B163" s="8">
        <v>10816983</v>
      </c>
      <c r="C163" s="8">
        <v>4107450</v>
      </c>
      <c r="D163" s="11">
        <f t="shared" si="34"/>
        <v>14924433</v>
      </c>
      <c r="F163" s="18">
        <v>44357</v>
      </c>
      <c r="G163" s="5">
        <v>11984723</v>
      </c>
      <c r="H163" s="5">
        <v>2385025</v>
      </c>
      <c r="I163" s="8">
        <v>370080</v>
      </c>
      <c r="K163" s="7">
        <f t="shared" si="35"/>
        <v>14739828</v>
      </c>
      <c r="M163" s="6">
        <v>44721</v>
      </c>
      <c r="N163" s="5">
        <v>6604392</v>
      </c>
      <c r="O163" s="5">
        <v>4108290</v>
      </c>
      <c r="P163" s="5">
        <v>268750</v>
      </c>
      <c r="Q163" s="5">
        <f t="shared" si="19"/>
        <v>10981432</v>
      </c>
      <c r="R163" s="5">
        <v>54300</v>
      </c>
      <c r="S163" s="5">
        <f t="shared" si="20"/>
        <v>11035732</v>
      </c>
      <c r="U163" s="6">
        <v>45085</v>
      </c>
      <c r="V163" s="8">
        <v>10203358</v>
      </c>
      <c r="W163" s="8">
        <v>3778610</v>
      </c>
      <c r="X163" s="8">
        <v>533370</v>
      </c>
      <c r="Y163" s="26">
        <f t="shared" si="37"/>
        <v>14515338</v>
      </c>
      <c r="Z163" s="26"/>
      <c r="AA163" s="8">
        <v>14900</v>
      </c>
      <c r="AB163" s="26">
        <f t="shared" si="38"/>
        <v>14530238</v>
      </c>
      <c r="AD163" s="6">
        <v>45450</v>
      </c>
      <c r="AE163" s="8">
        <v>5447035</v>
      </c>
      <c r="AF163" s="8">
        <v>1415290</v>
      </c>
      <c r="AG163" s="8">
        <v>237100</v>
      </c>
      <c r="AH163" s="5">
        <f t="shared" si="40"/>
        <v>7099425</v>
      </c>
      <c r="AI163" s="26">
        <v>1106700</v>
      </c>
      <c r="AJ163" s="8">
        <v>0</v>
      </c>
      <c r="AK163" s="5">
        <f t="shared" si="41"/>
        <v>8206125</v>
      </c>
      <c r="AM163" s="6">
        <v>45816</v>
      </c>
      <c r="AN163" s="8">
        <v>4434847</v>
      </c>
      <c r="AO163" s="8">
        <v>1335170</v>
      </c>
      <c r="AP163" s="8">
        <v>528370</v>
      </c>
      <c r="AQ163" s="5">
        <f t="shared" si="46"/>
        <v>6298387</v>
      </c>
      <c r="AR163" s="26">
        <v>448760</v>
      </c>
      <c r="AS163" s="5"/>
      <c r="AT163" s="8">
        <f t="shared" si="39"/>
        <v>448760</v>
      </c>
      <c r="AU163" s="26"/>
      <c r="AV163" s="5">
        <f t="shared" si="47"/>
        <v>6747147</v>
      </c>
      <c r="AX163" s="6">
        <v>46182</v>
      </c>
      <c r="AY163" s="8">
        <v>9357710</v>
      </c>
      <c r="AZ163" s="8">
        <v>1103520</v>
      </c>
      <c r="BA163" s="8">
        <v>292100</v>
      </c>
      <c r="BB163" s="5">
        <f t="shared" si="45"/>
        <v>10753330</v>
      </c>
      <c r="BC163" s="26">
        <v>612890</v>
      </c>
      <c r="BD163" s="5">
        <v>56900</v>
      </c>
      <c r="BE163" s="8">
        <f t="shared" si="42"/>
        <v>669790</v>
      </c>
      <c r="BF163" s="26">
        <v>149760</v>
      </c>
      <c r="BG163" s="5">
        <f t="shared" si="48"/>
        <v>11572880</v>
      </c>
    </row>
    <row r="164" spans="1:59">
      <c r="A164" s="6">
        <v>43994</v>
      </c>
      <c r="B164" s="8">
        <v>8758268</v>
      </c>
      <c r="C164" s="8">
        <v>2105400</v>
      </c>
      <c r="D164" s="11">
        <f t="shared" si="34"/>
        <v>10863668</v>
      </c>
      <c r="F164" s="18">
        <v>44358</v>
      </c>
      <c r="G164" s="5">
        <v>6956835</v>
      </c>
      <c r="H164" s="5">
        <v>2244235</v>
      </c>
      <c r="I164" s="8">
        <v>220700</v>
      </c>
      <c r="K164" s="7">
        <f t="shared" si="35"/>
        <v>9421770</v>
      </c>
      <c r="M164" s="6">
        <v>44722</v>
      </c>
      <c r="N164" s="5">
        <v>4187148</v>
      </c>
      <c r="O164" s="5">
        <v>2177590</v>
      </c>
      <c r="P164" s="5">
        <v>332480</v>
      </c>
      <c r="Q164" s="5">
        <f t="shared" si="19"/>
        <v>6697218</v>
      </c>
      <c r="R164" s="5">
        <v>126330</v>
      </c>
      <c r="S164" s="5">
        <f t="shared" si="20"/>
        <v>6823548</v>
      </c>
      <c r="U164" s="6">
        <v>45086</v>
      </c>
      <c r="V164" s="8">
        <v>10006710</v>
      </c>
      <c r="W164" s="8">
        <v>2099680</v>
      </c>
      <c r="X164" s="8">
        <v>222780</v>
      </c>
      <c r="Y164" s="26">
        <f t="shared" si="37"/>
        <v>12329170</v>
      </c>
      <c r="Z164" s="26"/>
      <c r="AA164" s="8">
        <v>29800</v>
      </c>
      <c r="AB164" s="26">
        <f t="shared" si="38"/>
        <v>12358970</v>
      </c>
      <c r="AD164" s="6">
        <v>45451</v>
      </c>
      <c r="AE164" s="8">
        <v>2113175</v>
      </c>
      <c r="AF164" s="8">
        <v>638310</v>
      </c>
      <c r="AG164" s="8">
        <v>263020</v>
      </c>
      <c r="AH164" s="5">
        <f t="shared" si="40"/>
        <v>3014505</v>
      </c>
      <c r="AI164" s="26">
        <v>1010180</v>
      </c>
      <c r="AJ164" s="8">
        <v>0</v>
      </c>
      <c r="AK164" s="5">
        <f t="shared" si="41"/>
        <v>4024685</v>
      </c>
      <c r="AM164" s="6">
        <v>45817</v>
      </c>
      <c r="AN164" s="8">
        <v>8203137</v>
      </c>
      <c r="AO164" s="8">
        <v>3420760</v>
      </c>
      <c r="AP164" s="8">
        <v>424900</v>
      </c>
      <c r="AQ164" s="5">
        <f t="shared" si="46"/>
        <v>12048797</v>
      </c>
      <c r="AR164" s="26">
        <v>655670</v>
      </c>
      <c r="AS164" s="5"/>
      <c r="AT164" s="8">
        <f t="shared" si="39"/>
        <v>655670</v>
      </c>
      <c r="AU164" s="26"/>
      <c r="AV164" s="5">
        <f t="shared" si="47"/>
        <v>12704467</v>
      </c>
      <c r="AX164" s="41">
        <v>46183</v>
      </c>
      <c r="AY164" s="27">
        <v>8162330</v>
      </c>
      <c r="AZ164" s="27">
        <v>1376840</v>
      </c>
      <c r="BA164" s="27">
        <v>255240</v>
      </c>
      <c r="BB164" s="20">
        <f t="shared" si="45"/>
        <v>9794410</v>
      </c>
      <c r="BC164" s="43">
        <v>920255</v>
      </c>
      <c r="BD164" s="20">
        <v>109700</v>
      </c>
      <c r="BE164" s="27">
        <f t="shared" si="42"/>
        <v>1029955</v>
      </c>
      <c r="BF164" s="43">
        <v>93200</v>
      </c>
      <c r="BG164" s="20">
        <f t="shared" si="48"/>
        <v>10917565</v>
      </c>
    </row>
    <row r="165" spans="1:59">
      <c r="A165" s="6">
        <v>43995</v>
      </c>
      <c r="B165" s="8">
        <v>4780303</v>
      </c>
      <c r="C165" s="8">
        <v>1921920</v>
      </c>
      <c r="D165" s="11">
        <f t="shared" si="34"/>
        <v>6702223</v>
      </c>
      <c r="F165" s="18">
        <v>44359</v>
      </c>
      <c r="G165" s="5">
        <v>4561715</v>
      </c>
      <c r="H165" s="5">
        <v>2314425</v>
      </c>
      <c r="I165" s="8">
        <v>114760</v>
      </c>
      <c r="K165" s="7">
        <f t="shared" si="35"/>
        <v>6990900</v>
      </c>
      <c r="M165" s="6">
        <v>44723</v>
      </c>
      <c r="N165" s="5">
        <v>2588536</v>
      </c>
      <c r="O165" s="5">
        <v>1528580</v>
      </c>
      <c r="P165" s="5">
        <v>488020</v>
      </c>
      <c r="Q165" s="5">
        <f t="shared" si="19"/>
        <v>4605136</v>
      </c>
      <c r="R165" s="5">
        <v>33200</v>
      </c>
      <c r="S165" s="5">
        <f t="shared" si="20"/>
        <v>4638336</v>
      </c>
      <c r="U165" s="6">
        <v>45087</v>
      </c>
      <c r="V165" s="8">
        <v>3476376</v>
      </c>
      <c r="W165" s="8">
        <v>1784480</v>
      </c>
      <c r="X165" s="8">
        <v>175820</v>
      </c>
      <c r="Y165" s="26">
        <f t="shared" si="37"/>
        <v>5436676</v>
      </c>
      <c r="Z165" s="26"/>
      <c r="AA165" s="8">
        <v>0</v>
      </c>
      <c r="AB165" s="26">
        <f t="shared" si="38"/>
        <v>5436676</v>
      </c>
      <c r="AD165" s="6">
        <v>45452</v>
      </c>
      <c r="AE165" s="8">
        <v>2818073</v>
      </c>
      <c r="AF165" s="8">
        <v>962630</v>
      </c>
      <c r="AG165" s="8">
        <v>225940</v>
      </c>
      <c r="AH165" s="5">
        <f t="shared" si="40"/>
        <v>4006643</v>
      </c>
      <c r="AI165" s="26">
        <v>1395040</v>
      </c>
      <c r="AJ165" s="8">
        <v>0</v>
      </c>
      <c r="AK165" s="5">
        <f t="shared" si="41"/>
        <v>5401683</v>
      </c>
      <c r="AM165" s="6">
        <v>45818</v>
      </c>
      <c r="AN165" s="8">
        <v>12780090</v>
      </c>
      <c r="AO165" s="8">
        <v>4443226</v>
      </c>
      <c r="AP165" s="8">
        <v>868760</v>
      </c>
      <c r="AQ165" s="5">
        <f t="shared" si="46"/>
        <v>18092076</v>
      </c>
      <c r="AR165" s="26">
        <v>908145</v>
      </c>
      <c r="AS165" s="5"/>
      <c r="AT165" s="8">
        <f t="shared" si="39"/>
        <v>908145</v>
      </c>
      <c r="AU165" s="26"/>
      <c r="AV165" s="5">
        <f t="shared" si="47"/>
        <v>19000221</v>
      </c>
      <c r="AX165" s="41">
        <v>46184</v>
      </c>
      <c r="AY165" s="27">
        <v>7379470</v>
      </c>
      <c r="AZ165" s="27">
        <v>1569110</v>
      </c>
      <c r="BA165" s="27">
        <v>258270</v>
      </c>
      <c r="BB165" s="20">
        <f t="shared" si="45"/>
        <v>9206850</v>
      </c>
      <c r="BC165" s="43">
        <v>662990</v>
      </c>
      <c r="BD165" s="20">
        <v>100400</v>
      </c>
      <c r="BE165" s="27">
        <f t="shared" si="42"/>
        <v>763390</v>
      </c>
      <c r="BF165" s="43">
        <v>240780</v>
      </c>
      <c r="BG165" s="20">
        <f t="shared" si="48"/>
        <v>10211020</v>
      </c>
    </row>
    <row r="166" spans="1:59">
      <c r="A166" s="6">
        <v>43996</v>
      </c>
      <c r="B166" s="8">
        <v>6783965</v>
      </c>
      <c r="C166" s="8">
        <v>2482035</v>
      </c>
      <c r="D166" s="11">
        <f t="shared" si="34"/>
        <v>9266000</v>
      </c>
      <c r="F166" s="18">
        <v>44360</v>
      </c>
      <c r="G166" s="5">
        <v>5119142</v>
      </c>
      <c r="H166" s="5">
        <v>2219960</v>
      </c>
      <c r="I166" s="8">
        <v>135400</v>
      </c>
      <c r="K166" s="7">
        <f t="shared" si="35"/>
        <v>7474502</v>
      </c>
      <c r="M166" s="6">
        <v>44724</v>
      </c>
      <c r="N166" s="5">
        <v>2973662</v>
      </c>
      <c r="O166" s="5">
        <v>1557480</v>
      </c>
      <c r="P166" s="5">
        <v>308150</v>
      </c>
      <c r="Q166" s="5">
        <f t="shared" si="19"/>
        <v>4839292</v>
      </c>
      <c r="R166" s="5">
        <v>68030</v>
      </c>
      <c r="S166" s="5">
        <f t="shared" si="20"/>
        <v>4907322</v>
      </c>
      <c r="U166" s="6">
        <v>45088</v>
      </c>
      <c r="V166" s="8">
        <v>9202360</v>
      </c>
      <c r="W166" s="8">
        <v>2068920</v>
      </c>
      <c r="X166" s="8">
        <v>229880</v>
      </c>
      <c r="Y166" s="26">
        <f t="shared" si="37"/>
        <v>11501160</v>
      </c>
      <c r="Z166" s="26"/>
      <c r="AA166" s="8">
        <v>43210</v>
      </c>
      <c r="AB166" s="26">
        <f t="shared" si="38"/>
        <v>11544370</v>
      </c>
      <c r="AD166" s="6">
        <v>45453</v>
      </c>
      <c r="AE166" s="8">
        <v>5918333</v>
      </c>
      <c r="AF166" s="8">
        <v>1534840</v>
      </c>
      <c r="AG166" s="8">
        <v>540520</v>
      </c>
      <c r="AH166" s="5">
        <f t="shared" si="40"/>
        <v>7993693</v>
      </c>
      <c r="AI166" s="26">
        <v>2364340</v>
      </c>
      <c r="AJ166" s="8">
        <v>0</v>
      </c>
      <c r="AK166" s="5">
        <f t="shared" si="41"/>
        <v>10358033</v>
      </c>
      <c r="AM166" s="6">
        <v>45819</v>
      </c>
      <c r="AN166" s="8">
        <v>9394565</v>
      </c>
      <c r="AO166" s="8">
        <v>2624170</v>
      </c>
      <c r="AP166" s="8">
        <v>445610</v>
      </c>
      <c r="AQ166" s="5">
        <f t="shared" si="46"/>
        <v>12464345</v>
      </c>
      <c r="AR166" s="26">
        <v>1149500</v>
      </c>
      <c r="AS166" s="5"/>
      <c r="AT166" s="8">
        <f t="shared" si="39"/>
        <v>1149500</v>
      </c>
      <c r="AU166" s="26"/>
      <c r="AV166" s="5">
        <f t="shared" si="47"/>
        <v>13613845</v>
      </c>
      <c r="AX166" s="41">
        <v>46185</v>
      </c>
      <c r="AY166" s="27">
        <v>6528330</v>
      </c>
      <c r="AZ166" s="27">
        <v>1226140</v>
      </c>
      <c r="BA166" s="27">
        <v>251510</v>
      </c>
      <c r="BB166" s="20">
        <f t="shared" si="45"/>
        <v>8005980</v>
      </c>
      <c r="BC166" s="43">
        <v>477855</v>
      </c>
      <c r="BD166" s="20">
        <v>144900</v>
      </c>
      <c r="BE166" s="27">
        <f t="shared" si="42"/>
        <v>622755</v>
      </c>
      <c r="BF166" s="43">
        <v>91000</v>
      </c>
      <c r="BG166" s="20">
        <f t="shared" si="48"/>
        <v>8719735</v>
      </c>
    </row>
    <row r="167" spans="1:59">
      <c r="A167" s="6">
        <v>43997</v>
      </c>
      <c r="B167" s="8">
        <v>6041919</v>
      </c>
      <c r="C167" s="8">
        <v>2380180</v>
      </c>
      <c r="D167" s="11">
        <f t="shared" si="34"/>
        <v>8422099</v>
      </c>
      <c r="F167" s="18">
        <v>44361</v>
      </c>
      <c r="G167" s="5">
        <v>13319771</v>
      </c>
      <c r="H167" s="5">
        <v>4373873</v>
      </c>
      <c r="I167" s="8">
        <v>442280</v>
      </c>
      <c r="K167" s="7">
        <f t="shared" si="35"/>
        <v>18135924</v>
      </c>
      <c r="M167" s="6">
        <v>44725</v>
      </c>
      <c r="N167" s="5">
        <v>4340525</v>
      </c>
      <c r="O167" s="5">
        <v>3172770</v>
      </c>
      <c r="P167" s="5">
        <v>375680</v>
      </c>
      <c r="Q167" s="5">
        <f t="shared" si="19"/>
        <v>7888975</v>
      </c>
      <c r="R167" s="5">
        <v>69030</v>
      </c>
      <c r="S167" s="5">
        <f t="shared" ref="S167:S291" si="49">Q167+R167</f>
        <v>7958005</v>
      </c>
      <c r="U167" s="6">
        <v>45089</v>
      </c>
      <c r="V167" s="8">
        <v>5674232</v>
      </c>
      <c r="W167" s="8">
        <v>2881680</v>
      </c>
      <c r="X167" s="8">
        <v>243250</v>
      </c>
      <c r="Y167" s="26">
        <f t="shared" si="37"/>
        <v>8799162</v>
      </c>
      <c r="Z167" s="26"/>
      <c r="AA167" s="8">
        <v>43700</v>
      </c>
      <c r="AB167" s="26">
        <f t="shared" si="38"/>
        <v>8842862</v>
      </c>
      <c r="AD167" s="6">
        <v>45454</v>
      </c>
      <c r="AE167" s="8">
        <v>8398750</v>
      </c>
      <c r="AF167" s="8">
        <v>2777040</v>
      </c>
      <c r="AG167" s="8">
        <v>267400</v>
      </c>
      <c r="AH167" s="5">
        <f t="shared" si="40"/>
        <v>11443190</v>
      </c>
      <c r="AI167" s="26">
        <v>1509140</v>
      </c>
      <c r="AJ167" s="8">
        <v>20400</v>
      </c>
      <c r="AK167" s="5">
        <f t="shared" si="41"/>
        <v>12972730</v>
      </c>
      <c r="AM167" s="6">
        <v>45820</v>
      </c>
      <c r="AN167" s="8">
        <v>9026635</v>
      </c>
      <c r="AO167" s="8">
        <v>2163820</v>
      </c>
      <c r="AP167" s="8">
        <v>716830</v>
      </c>
      <c r="AQ167" s="5">
        <f t="shared" si="46"/>
        <v>11907285</v>
      </c>
      <c r="AR167" s="26">
        <v>1068315</v>
      </c>
      <c r="AS167" s="5"/>
      <c r="AT167" s="8">
        <f t="shared" si="39"/>
        <v>1068315</v>
      </c>
      <c r="AU167" s="26"/>
      <c r="AV167" s="5">
        <f t="shared" si="47"/>
        <v>12975600</v>
      </c>
      <c r="AX167" s="6">
        <v>46186</v>
      </c>
      <c r="AY167" s="8">
        <v>3503850</v>
      </c>
      <c r="AZ167" s="8">
        <v>959200</v>
      </c>
      <c r="BA167" s="8">
        <v>165400</v>
      </c>
      <c r="BB167" s="20">
        <f t="shared" si="45"/>
        <v>4628450</v>
      </c>
      <c r="BC167" s="26">
        <v>349720</v>
      </c>
      <c r="BD167" s="5">
        <v>179400</v>
      </c>
      <c r="BE167" s="27">
        <f t="shared" si="42"/>
        <v>529120</v>
      </c>
      <c r="BF167" s="26">
        <v>47000</v>
      </c>
      <c r="BG167" s="20">
        <f t="shared" si="48"/>
        <v>5204570</v>
      </c>
    </row>
    <row r="168" spans="1:59">
      <c r="A168" s="6">
        <v>43998</v>
      </c>
      <c r="B168" s="8">
        <v>13951203</v>
      </c>
      <c r="C168" s="8">
        <v>3912520</v>
      </c>
      <c r="D168" s="11">
        <f t="shared" si="34"/>
        <v>17863723</v>
      </c>
      <c r="F168" s="18">
        <v>44362</v>
      </c>
      <c r="G168" s="5">
        <v>6072088</v>
      </c>
      <c r="H168" s="5">
        <v>1682458</v>
      </c>
      <c r="I168" s="8">
        <v>214860</v>
      </c>
      <c r="K168" s="7">
        <f t="shared" si="35"/>
        <v>7969406</v>
      </c>
      <c r="M168" s="6">
        <v>44726</v>
      </c>
      <c r="N168" s="5">
        <v>12080404</v>
      </c>
      <c r="O168" s="5">
        <v>4725050</v>
      </c>
      <c r="P168" s="5">
        <v>358420</v>
      </c>
      <c r="Q168" s="5">
        <f t="shared" si="19"/>
        <v>17163874</v>
      </c>
      <c r="R168" s="5">
        <v>87500</v>
      </c>
      <c r="S168" s="5">
        <f t="shared" si="49"/>
        <v>17251374</v>
      </c>
      <c r="U168" s="6">
        <v>45090</v>
      </c>
      <c r="V168" s="8">
        <v>6841676</v>
      </c>
      <c r="W168" s="8">
        <v>3127510</v>
      </c>
      <c r="X168" s="8">
        <v>262700</v>
      </c>
      <c r="Y168" s="26">
        <f t="shared" si="37"/>
        <v>10231886</v>
      </c>
      <c r="Z168" s="26"/>
      <c r="AA168" s="8">
        <v>0</v>
      </c>
      <c r="AB168" s="26">
        <f t="shared" si="38"/>
        <v>10231886</v>
      </c>
      <c r="AD168" s="6">
        <v>45455</v>
      </c>
      <c r="AE168" s="8">
        <v>8337539</v>
      </c>
      <c r="AF168" s="8">
        <v>2802015</v>
      </c>
      <c r="AG168" s="8">
        <v>219920</v>
      </c>
      <c r="AH168" s="5">
        <f t="shared" si="40"/>
        <v>11359474</v>
      </c>
      <c r="AI168" s="26">
        <v>1206500</v>
      </c>
      <c r="AJ168" s="8">
        <v>0</v>
      </c>
      <c r="AK168" s="5">
        <f t="shared" si="41"/>
        <v>12565974</v>
      </c>
      <c r="AM168" s="6">
        <v>45821</v>
      </c>
      <c r="AN168" s="8">
        <v>11516101</v>
      </c>
      <c r="AO168" s="8">
        <v>3836630</v>
      </c>
      <c r="AP168" s="8">
        <v>415840</v>
      </c>
      <c r="AQ168" s="5">
        <f t="shared" si="46"/>
        <v>15768571</v>
      </c>
      <c r="AR168" s="26">
        <v>1115100</v>
      </c>
      <c r="AS168" s="5"/>
      <c r="AT168" s="8">
        <f t="shared" si="39"/>
        <v>1115100</v>
      </c>
      <c r="AU168" s="26"/>
      <c r="AV168" s="5">
        <f t="shared" si="47"/>
        <v>16883671</v>
      </c>
      <c r="AX168" s="6">
        <v>46187</v>
      </c>
      <c r="AY168" s="8">
        <v>3961010</v>
      </c>
      <c r="AZ168" s="8">
        <v>717450</v>
      </c>
      <c r="BA168" s="8">
        <v>191460</v>
      </c>
      <c r="BB168" s="20">
        <f t="shared" si="45"/>
        <v>4869920</v>
      </c>
      <c r="BC168" s="26">
        <v>770630</v>
      </c>
      <c r="BD168" s="5">
        <v>249900</v>
      </c>
      <c r="BE168" s="27">
        <f t="shared" si="42"/>
        <v>1020530</v>
      </c>
      <c r="BF168" s="26">
        <v>91000</v>
      </c>
      <c r="BG168" s="20">
        <f t="shared" si="48"/>
        <v>5981450</v>
      </c>
    </row>
    <row r="169" spans="1:59">
      <c r="A169" s="6">
        <v>43999</v>
      </c>
      <c r="B169" s="8">
        <v>13469682</v>
      </c>
      <c r="C169" s="8">
        <v>3826360</v>
      </c>
      <c r="D169" s="11">
        <f t="shared" si="34"/>
        <v>17296042</v>
      </c>
      <c r="F169" s="18">
        <v>44363</v>
      </c>
      <c r="G169" s="5">
        <v>7342082</v>
      </c>
      <c r="H169" s="5">
        <v>1440160</v>
      </c>
      <c r="I169" s="8">
        <v>360330</v>
      </c>
      <c r="K169" s="7">
        <f t="shared" si="35"/>
        <v>9142572</v>
      </c>
      <c r="M169" s="6">
        <v>44727</v>
      </c>
      <c r="N169" s="5">
        <v>9888962</v>
      </c>
      <c r="O169" s="5">
        <v>3824680</v>
      </c>
      <c r="P169" s="5">
        <v>402760</v>
      </c>
      <c r="Q169" s="5">
        <f t="shared" si="19"/>
        <v>14116402</v>
      </c>
      <c r="R169" s="5">
        <v>71000</v>
      </c>
      <c r="S169" s="5">
        <f t="shared" si="49"/>
        <v>14187402</v>
      </c>
      <c r="U169" s="6">
        <v>45091</v>
      </c>
      <c r="V169" s="8">
        <v>5850470</v>
      </c>
      <c r="W169" s="8">
        <v>2372410</v>
      </c>
      <c r="X169" s="8">
        <v>1042800</v>
      </c>
      <c r="Y169" s="26">
        <f t="shared" si="37"/>
        <v>9265680</v>
      </c>
      <c r="Z169" s="26"/>
      <c r="AA169" s="8">
        <v>0</v>
      </c>
      <c r="AB169" s="26">
        <f t="shared" si="38"/>
        <v>9265680</v>
      </c>
      <c r="AD169" s="6">
        <v>45456</v>
      </c>
      <c r="AE169" s="8">
        <v>9680073</v>
      </c>
      <c r="AF169" s="8">
        <v>2524840</v>
      </c>
      <c r="AG169" s="8">
        <v>195060</v>
      </c>
      <c r="AH169" s="5">
        <f>SUM(AE169:AG169)</f>
        <v>12399973</v>
      </c>
      <c r="AI169" s="26">
        <v>1708760</v>
      </c>
      <c r="AJ169" s="8">
        <v>0</v>
      </c>
      <c r="AK169" s="5">
        <f>AH169+AJ169+AI169</f>
        <v>14108733</v>
      </c>
      <c r="AM169" s="6">
        <v>45822</v>
      </c>
      <c r="AN169" s="8">
        <v>5510332</v>
      </c>
      <c r="AO169" s="8">
        <v>2086800</v>
      </c>
      <c r="AP169" s="8">
        <v>567940</v>
      </c>
      <c r="AQ169" s="5">
        <f t="shared" si="46"/>
        <v>8165072</v>
      </c>
      <c r="AR169" s="26">
        <v>510600</v>
      </c>
      <c r="AS169" s="5"/>
      <c r="AT169" s="8">
        <f t="shared" si="39"/>
        <v>510600</v>
      </c>
      <c r="AU169" s="26"/>
      <c r="AV169" s="5">
        <f t="shared" si="47"/>
        <v>8675672</v>
      </c>
      <c r="AX169" s="41">
        <v>46188</v>
      </c>
      <c r="AY169" s="27">
        <v>7290260</v>
      </c>
      <c r="AZ169" s="27">
        <v>1160450</v>
      </c>
      <c r="BA169" s="27">
        <v>436460</v>
      </c>
      <c r="BB169" s="20">
        <f t="shared" si="45"/>
        <v>8887170</v>
      </c>
      <c r="BC169" s="43">
        <v>4064765</v>
      </c>
      <c r="BD169" s="20">
        <v>228690</v>
      </c>
      <c r="BE169" s="27">
        <f t="shared" si="42"/>
        <v>4293455</v>
      </c>
      <c r="BF169" s="43">
        <v>161940</v>
      </c>
      <c r="BG169" s="20">
        <f t="shared" si="48"/>
        <v>13342565</v>
      </c>
    </row>
    <row r="170" spans="1:59">
      <c r="A170" s="6">
        <v>44000</v>
      </c>
      <c r="B170" s="8">
        <v>13680550</v>
      </c>
      <c r="C170" s="8">
        <v>4626830</v>
      </c>
      <c r="D170" s="11">
        <f t="shared" si="34"/>
        <v>18307380</v>
      </c>
      <c r="F170" s="18">
        <v>44364</v>
      </c>
      <c r="G170" s="5">
        <v>7091808</v>
      </c>
      <c r="H170" s="5">
        <v>1663080</v>
      </c>
      <c r="I170" s="8">
        <v>578080</v>
      </c>
      <c r="K170" s="7">
        <f t="shared" si="35"/>
        <v>9332968</v>
      </c>
      <c r="M170" s="6">
        <v>44728</v>
      </c>
      <c r="N170" s="5">
        <v>9803909</v>
      </c>
      <c r="O170" s="5">
        <v>4256510</v>
      </c>
      <c r="P170" s="5">
        <v>418440</v>
      </c>
      <c r="Q170" s="5">
        <f t="shared" si="19"/>
        <v>14478859</v>
      </c>
      <c r="R170" s="5">
        <v>139760</v>
      </c>
      <c r="S170" s="5">
        <f t="shared" si="49"/>
        <v>14618619</v>
      </c>
      <c r="U170" s="6">
        <v>45092</v>
      </c>
      <c r="V170" s="8">
        <v>7189144</v>
      </c>
      <c r="W170" s="8">
        <v>2099829</v>
      </c>
      <c r="X170" s="8">
        <v>747590</v>
      </c>
      <c r="Y170" s="26">
        <f t="shared" si="37"/>
        <v>10036563</v>
      </c>
      <c r="Z170" s="26"/>
      <c r="AA170" s="8">
        <v>14900</v>
      </c>
      <c r="AB170" s="26">
        <f t="shared" si="38"/>
        <v>10051463</v>
      </c>
      <c r="AD170" s="6">
        <v>45457</v>
      </c>
      <c r="AE170" s="8">
        <v>5538584</v>
      </c>
      <c r="AF170" s="8">
        <v>1180200</v>
      </c>
      <c r="AG170" s="8">
        <v>18910</v>
      </c>
      <c r="AH170" s="5">
        <f t="shared" ref="AH170:AH233" si="50">SUM(AE170:AG170)</f>
        <v>6737694</v>
      </c>
      <c r="AI170" s="26">
        <v>1412840</v>
      </c>
      <c r="AJ170" s="8">
        <v>0</v>
      </c>
      <c r="AK170" s="5">
        <f t="shared" si="41"/>
        <v>8150534</v>
      </c>
      <c r="AM170" s="6">
        <v>45823</v>
      </c>
      <c r="AN170" s="8">
        <v>7819895</v>
      </c>
      <c r="AO170" s="8">
        <v>2417240</v>
      </c>
      <c r="AP170" s="8">
        <v>336800</v>
      </c>
      <c r="AQ170" s="5">
        <f t="shared" si="46"/>
        <v>10573935</v>
      </c>
      <c r="AR170" s="26">
        <v>827745</v>
      </c>
      <c r="AS170" s="5"/>
      <c r="AT170" s="8">
        <f t="shared" si="39"/>
        <v>827745</v>
      </c>
      <c r="AU170" s="26"/>
      <c r="AV170" s="5">
        <f t="shared" si="47"/>
        <v>11401680</v>
      </c>
      <c r="AX170" s="6">
        <v>46189</v>
      </c>
      <c r="AY170" s="8">
        <v>2307980</v>
      </c>
      <c r="AZ170" s="8">
        <v>653610</v>
      </c>
      <c r="BA170" s="8">
        <v>187240</v>
      </c>
      <c r="BB170" s="20">
        <f t="shared" si="45"/>
        <v>3148830</v>
      </c>
      <c r="BC170" s="26">
        <v>1970335</v>
      </c>
      <c r="BD170" s="5">
        <v>274500</v>
      </c>
      <c r="BE170" s="27">
        <f t="shared" si="42"/>
        <v>2244835</v>
      </c>
      <c r="BF170" s="26">
        <v>41000</v>
      </c>
      <c r="BG170" s="20">
        <f t="shared" si="48"/>
        <v>5434665</v>
      </c>
    </row>
    <row r="171" spans="1:59">
      <c r="A171" s="6">
        <v>44001</v>
      </c>
      <c r="B171" s="8">
        <v>9098085</v>
      </c>
      <c r="C171" s="8">
        <v>2704942</v>
      </c>
      <c r="D171" s="11">
        <f t="shared" si="34"/>
        <v>11803027</v>
      </c>
      <c r="F171" s="18">
        <v>44365</v>
      </c>
      <c r="G171" s="5">
        <v>6985392</v>
      </c>
      <c r="H171" s="5">
        <v>2408840</v>
      </c>
      <c r="I171" s="8">
        <v>406640</v>
      </c>
      <c r="K171" s="7">
        <f t="shared" si="35"/>
        <v>9800872</v>
      </c>
      <c r="M171" s="6">
        <v>44729</v>
      </c>
      <c r="N171" s="5">
        <v>5408559</v>
      </c>
      <c r="O171" s="5">
        <v>2562550</v>
      </c>
      <c r="P171" s="5">
        <v>72300</v>
      </c>
      <c r="Q171" s="5">
        <f t="shared" si="19"/>
        <v>8043409</v>
      </c>
      <c r="R171" s="5">
        <v>55500</v>
      </c>
      <c r="S171" s="5">
        <f t="shared" si="49"/>
        <v>8098909</v>
      </c>
      <c r="U171" s="6">
        <v>45093</v>
      </c>
      <c r="V171" s="8">
        <v>2404086</v>
      </c>
      <c r="W171" s="8">
        <v>1270780</v>
      </c>
      <c r="X171" s="8">
        <v>422210</v>
      </c>
      <c r="Y171" s="26">
        <f t="shared" si="37"/>
        <v>4097076</v>
      </c>
      <c r="Z171" s="26"/>
      <c r="AA171" s="8">
        <v>29800</v>
      </c>
      <c r="AB171" s="26">
        <f t="shared" si="38"/>
        <v>4126876</v>
      </c>
      <c r="AD171" s="6">
        <v>45458</v>
      </c>
      <c r="AE171" s="8">
        <v>2643373</v>
      </c>
      <c r="AF171" s="8">
        <v>591260</v>
      </c>
      <c r="AG171" s="8">
        <v>141120</v>
      </c>
      <c r="AH171" s="5">
        <f t="shared" si="50"/>
        <v>3375753</v>
      </c>
      <c r="AI171" s="26">
        <v>884772</v>
      </c>
      <c r="AJ171" s="8">
        <v>0</v>
      </c>
      <c r="AK171" s="5">
        <f>AH171+AJ171+AI171</f>
        <v>4260525</v>
      </c>
      <c r="AM171" s="6">
        <v>45824</v>
      </c>
      <c r="AN171" s="8">
        <v>3928118</v>
      </c>
      <c r="AO171" s="8">
        <v>1246650</v>
      </c>
      <c r="AP171" s="8">
        <v>763930</v>
      </c>
      <c r="AQ171" s="5">
        <f t="shared" si="46"/>
        <v>5938698</v>
      </c>
      <c r="AR171" s="26">
        <v>2120660</v>
      </c>
      <c r="AS171" s="5"/>
      <c r="AT171" s="8">
        <f t="shared" si="39"/>
        <v>2120660</v>
      </c>
      <c r="AU171" s="26"/>
      <c r="AV171" s="5">
        <f t="shared" si="47"/>
        <v>8059358</v>
      </c>
      <c r="AX171" s="6">
        <v>46190</v>
      </c>
      <c r="AY171" s="8">
        <v>13913472</v>
      </c>
      <c r="AZ171" s="8">
        <v>2493040</v>
      </c>
      <c r="BA171" s="8">
        <v>301280</v>
      </c>
      <c r="BB171" s="20">
        <f t="shared" si="45"/>
        <v>16707792</v>
      </c>
      <c r="BC171" s="26">
        <v>1613015</v>
      </c>
      <c r="BD171" s="5">
        <v>90400</v>
      </c>
      <c r="BE171" s="27">
        <f t="shared" si="42"/>
        <v>1703415</v>
      </c>
      <c r="BF171" s="26">
        <v>112220</v>
      </c>
      <c r="BG171" s="20">
        <f t="shared" si="48"/>
        <v>18523427</v>
      </c>
    </row>
    <row r="172" spans="1:59">
      <c r="A172" s="6">
        <v>44002</v>
      </c>
      <c r="B172" s="8">
        <v>3822964</v>
      </c>
      <c r="C172" s="8">
        <v>1371440</v>
      </c>
      <c r="D172" s="11">
        <f t="shared" si="34"/>
        <v>5194404</v>
      </c>
      <c r="F172" s="18">
        <v>44366</v>
      </c>
      <c r="G172" s="5">
        <v>2944111</v>
      </c>
      <c r="H172" s="5">
        <v>992857</v>
      </c>
      <c r="I172" s="8">
        <v>266860</v>
      </c>
      <c r="K172" s="7">
        <f t="shared" si="35"/>
        <v>4203828</v>
      </c>
      <c r="M172" s="6">
        <v>44730</v>
      </c>
      <c r="N172" s="5">
        <v>2757456</v>
      </c>
      <c r="O172" s="5">
        <v>1032350</v>
      </c>
      <c r="P172" s="5">
        <v>320430</v>
      </c>
      <c r="Q172" s="5">
        <f t="shared" si="19"/>
        <v>4110236</v>
      </c>
      <c r="R172" s="5">
        <v>17700</v>
      </c>
      <c r="S172" s="5">
        <f t="shared" si="49"/>
        <v>4127936</v>
      </c>
      <c r="U172" s="6">
        <v>45094</v>
      </c>
      <c r="V172" s="8">
        <v>1843553</v>
      </c>
      <c r="W172" s="8">
        <v>435000</v>
      </c>
      <c r="X172" s="8">
        <v>340380</v>
      </c>
      <c r="Y172" s="26">
        <f t="shared" si="37"/>
        <v>2618933</v>
      </c>
      <c r="Z172" s="26"/>
      <c r="AA172" s="8">
        <v>0</v>
      </c>
      <c r="AB172" s="26">
        <f t="shared" si="38"/>
        <v>2618933</v>
      </c>
      <c r="AD172" s="6">
        <v>45459</v>
      </c>
      <c r="AE172" s="8">
        <v>2741783</v>
      </c>
      <c r="AF172" s="8">
        <v>704540</v>
      </c>
      <c r="AG172" s="8">
        <v>155770</v>
      </c>
      <c r="AH172" s="5">
        <f t="shared" si="50"/>
        <v>3602093</v>
      </c>
      <c r="AI172" s="26">
        <v>1514900</v>
      </c>
      <c r="AJ172" s="8">
        <v>0</v>
      </c>
      <c r="AK172" s="5">
        <f t="shared" si="41"/>
        <v>5116993</v>
      </c>
      <c r="AM172" s="6">
        <v>45825</v>
      </c>
      <c r="AN172" s="8">
        <v>15478618</v>
      </c>
      <c r="AO172" s="8">
        <v>3694280</v>
      </c>
      <c r="AP172" s="8">
        <v>579580</v>
      </c>
      <c r="AQ172" s="5">
        <f t="shared" si="46"/>
        <v>19752478</v>
      </c>
      <c r="AR172" s="26">
        <v>2776270</v>
      </c>
      <c r="AS172" s="5"/>
      <c r="AT172" s="8">
        <f t="shared" si="39"/>
        <v>2776270</v>
      </c>
      <c r="AU172" s="26"/>
      <c r="AV172" s="5">
        <f t="shared" si="47"/>
        <v>22528748</v>
      </c>
      <c r="AX172" s="6">
        <v>46191</v>
      </c>
      <c r="AY172" s="8">
        <v>9734480</v>
      </c>
      <c r="AZ172" s="8">
        <v>1901280</v>
      </c>
      <c r="BA172" s="8">
        <v>183640</v>
      </c>
      <c r="BB172" s="20">
        <f t="shared" si="45"/>
        <v>11819400</v>
      </c>
      <c r="BC172" s="26">
        <v>1271815</v>
      </c>
      <c r="BD172" s="5">
        <v>115000</v>
      </c>
      <c r="BE172" s="8">
        <f t="shared" si="42"/>
        <v>1386815</v>
      </c>
      <c r="BF172" s="26">
        <v>158500</v>
      </c>
      <c r="BG172" s="20">
        <f t="shared" si="48"/>
        <v>13364715</v>
      </c>
    </row>
    <row r="173" spans="1:59">
      <c r="A173" s="6">
        <v>44003</v>
      </c>
      <c r="B173" s="8">
        <v>5284050</v>
      </c>
      <c r="C173" s="8">
        <v>1202590</v>
      </c>
      <c r="D173" s="11">
        <f t="shared" si="34"/>
        <v>6486640</v>
      </c>
      <c r="F173" s="18">
        <v>44367</v>
      </c>
      <c r="G173" s="5">
        <v>3755646</v>
      </c>
      <c r="H173" s="5">
        <v>1272880</v>
      </c>
      <c r="I173" s="8">
        <v>169800</v>
      </c>
      <c r="K173" s="7">
        <f t="shared" si="35"/>
        <v>5198326</v>
      </c>
      <c r="M173" s="6">
        <v>44731</v>
      </c>
      <c r="N173" s="5">
        <v>1840441</v>
      </c>
      <c r="O173" s="5">
        <v>942580</v>
      </c>
      <c r="P173" s="5">
        <v>205540</v>
      </c>
      <c r="Q173" s="5">
        <f t="shared" si="19"/>
        <v>2988561</v>
      </c>
      <c r="R173" s="5">
        <v>56700</v>
      </c>
      <c r="S173" s="5">
        <f t="shared" si="49"/>
        <v>3045261</v>
      </c>
      <c r="U173" s="6">
        <v>45095</v>
      </c>
      <c r="V173" s="8">
        <v>1374596</v>
      </c>
      <c r="W173" s="8">
        <v>1228910</v>
      </c>
      <c r="X173" s="8">
        <v>671340</v>
      </c>
      <c r="Y173" s="26">
        <f t="shared" si="37"/>
        <v>3274846</v>
      </c>
      <c r="Z173" s="26"/>
      <c r="AA173" s="8">
        <v>0</v>
      </c>
      <c r="AB173" s="26">
        <f t="shared" si="38"/>
        <v>3274846</v>
      </c>
      <c r="AD173" s="6">
        <v>45460</v>
      </c>
      <c r="AE173" s="8">
        <v>4551299</v>
      </c>
      <c r="AF173" s="8">
        <v>1551640</v>
      </c>
      <c r="AG173" s="8">
        <v>197870</v>
      </c>
      <c r="AH173" s="5">
        <f t="shared" si="50"/>
        <v>6300809</v>
      </c>
      <c r="AI173" s="26">
        <v>1404688</v>
      </c>
      <c r="AJ173" s="8">
        <v>0</v>
      </c>
      <c r="AK173" s="5">
        <f t="shared" si="41"/>
        <v>7705497</v>
      </c>
      <c r="AM173" s="6">
        <v>45826</v>
      </c>
      <c r="AN173" s="8">
        <v>12870003</v>
      </c>
      <c r="AO173" s="8">
        <v>2642820</v>
      </c>
      <c r="AP173" s="8">
        <v>195800</v>
      </c>
      <c r="AQ173" s="5">
        <f t="shared" si="46"/>
        <v>15708623</v>
      </c>
      <c r="AR173" s="26">
        <v>2107885</v>
      </c>
      <c r="AS173" s="5"/>
      <c r="AT173" s="8">
        <f t="shared" si="39"/>
        <v>2107885</v>
      </c>
      <c r="AU173" s="26"/>
      <c r="AV173" s="5">
        <f t="shared" si="47"/>
        <v>17816508</v>
      </c>
      <c r="AX173" s="6">
        <v>46192</v>
      </c>
      <c r="AY173" s="8">
        <v>6825160</v>
      </c>
      <c r="AZ173" s="8">
        <v>1300440</v>
      </c>
      <c r="BA173" s="8">
        <v>153400</v>
      </c>
      <c r="BB173" s="20">
        <f t="shared" si="45"/>
        <v>8279000</v>
      </c>
      <c r="BC173" s="26">
        <v>1560835</v>
      </c>
      <c r="BD173" s="5">
        <v>257500</v>
      </c>
      <c r="BE173" s="8">
        <f t="shared" si="42"/>
        <v>1818335</v>
      </c>
      <c r="BF173" s="26">
        <v>125000</v>
      </c>
      <c r="BG173" s="20">
        <f t="shared" si="48"/>
        <v>10222335</v>
      </c>
    </row>
    <row r="174" spans="1:59">
      <c r="A174" s="6">
        <v>44004</v>
      </c>
      <c r="B174" s="8">
        <v>8399026</v>
      </c>
      <c r="C174" s="8">
        <v>2831220</v>
      </c>
      <c r="D174" s="11">
        <f t="shared" si="34"/>
        <v>11230246</v>
      </c>
      <c r="F174" s="18">
        <v>44368</v>
      </c>
      <c r="G174" s="5">
        <v>9927254</v>
      </c>
      <c r="H174" s="5">
        <v>3117040</v>
      </c>
      <c r="I174" s="8">
        <v>514920</v>
      </c>
      <c r="K174" s="7">
        <f t="shared" si="35"/>
        <v>13559214</v>
      </c>
      <c r="M174" s="6">
        <v>44732</v>
      </c>
      <c r="N174" s="5">
        <v>9298427</v>
      </c>
      <c r="O174" s="5">
        <v>2362640</v>
      </c>
      <c r="P174" s="5">
        <v>299690</v>
      </c>
      <c r="Q174" s="5">
        <f t="shared" si="19"/>
        <v>11960757</v>
      </c>
      <c r="R174" s="5">
        <v>205820</v>
      </c>
      <c r="S174" s="5">
        <f t="shared" si="49"/>
        <v>12166577</v>
      </c>
      <c r="U174" s="6">
        <v>45096</v>
      </c>
      <c r="V174" s="8">
        <v>4813241</v>
      </c>
      <c r="W174" s="8">
        <v>2606410</v>
      </c>
      <c r="X174" s="8">
        <v>365280</v>
      </c>
      <c r="Y174" s="26">
        <f t="shared" si="37"/>
        <v>7784931</v>
      </c>
      <c r="Z174" s="26"/>
      <c r="AA174" s="8">
        <v>43210</v>
      </c>
      <c r="AB174" s="26">
        <f t="shared" si="38"/>
        <v>7828141</v>
      </c>
      <c r="AD174" s="6">
        <v>45461</v>
      </c>
      <c r="AE174" s="8">
        <v>14561673</v>
      </c>
      <c r="AF174" s="8">
        <v>3155470</v>
      </c>
      <c r="AG174" s="8">
        <v>122220</v>
      </c>
      <c r="AH174" s="5">
        <f t="shared" si="50"/>
        <v>17839363</v>
      </c>
      <c r="AI174" s="26">
        <v>1609900</v>
      </c>
      <c r="AJ174" s="8">
        <v>0</v>
      </c>
      <c r="AK174" s="5">
        <f t="shared" si="41"/>
        <v>19449263</v>
      </c>
      <c r="AM174" s="6">
        <v>45827</v>
      </c>
      <c r="AN174" s="8">
        <v>7126771</v>
      </c>
      <c r="AO174" s="8">
        <v>1660170</v>
      </c>
      <c r="AP174" s="8">
        <v>437060</v>
      </c>
      <c r="AQ174" s="5">
        <f t="shared" si="46"/>
        <v>9224001</v>
      </c>
      <c r="AR174" s="26">
        <v>2112195</v>
      </c>
      <c r="AS174" s="5"/>
      <c r="AT174" s="8">
        <f t="shared" si="39"/>
        <v>2112195</v>
      </c>
      <c r="AU174" s="26"/>
      <c r="AV174" s="5">
        <f t="shared" si="47"/>
        <v>11336196</v>
      </c>
      <c r="AX174" s="6">
        <v>46193</v>
      </c>
      <c r="AY174" s="8">
        <v>3744660</v>
      </c>
      <c r="AZ174" s="8">
        <v>970960</v>
      </c>
      <c r="BA174" s="8">
        <v>92880</v>
      </c>
      <c r="BB174" s="20">
        <f t="shared" si="45"/>
        <v>4808500</v>
      </c>
      <c r="BC174" s="26">
        <v>995460</v>
      </c>
      <c r="BD174" s="5">
        <v>407000</v>
      </c>
      <c r="BE174" s="8">
        <f t="shared" si="42"/>
        <v>1402460</v>
      </c>
      <c r="BF174" s="26">
        <v>75000</v>
      </c>
      <c r="BG174" s="20">
        <f t="shared" si="48"/>
        <v>6285960</v>
      </c>
    </row>
    <row r="175" spans="1:59">
      <c r="A175" s="6">
        <v>44005</v>
      </c>
      <c r="B175" s="8">
        <v>11922070</v>
      </c>
      <c r="C175" s="8">
        <v>4121100</v>
      </c>
      <c r="D175" s="11">
        <f t="shared" si="34"/>
        <v>16043170</v>
      </c>
      <c r="F175" s="18">
        <v>44369</v>
      </c>
      <c r="G175" s="5">
        <v>6791392</v>
      </c>
      <c r="H175" s="5">
        <v>2337126</v>
      </c>
      <c r="I175" s="8">
        <v>460680</v>
      </c>
      <c r="K175" s="7">
        <f t="shared" si="35"/>
        <v>9589198</v>
      </c>
      <c r="M175" s="6">
        <v>44733</v>
      </c>
      <c r="N175" s="5">
        <v>7186377</v>
      </c>
      <c r="O175" s="5">
        <v>2934340</v>
      </c>
      <c r="P175" s="5">
        <v>287740</v>
      </c>
      <c r="Q175" s="5">
        <f t="shared" si="19"/>
        <v>10408457</v>
      </c>
      <c r="R175" s="5">
        <v>72510</v>
      </c>
      <c r="S175" s="5">
        <f t="shared" si="49"/>
        <v>10480967</v>
      </c>
      <c r="U175" s="6">
        <v>45097</v>
      </c>
      <c r="V175" s="8">
        <v>6995253</v>
      </c>
      <c r="W175" s="8">
        <v>2940250</v>
      </c>
      <c r="X175" s="8">
        <v>634530</v>
      </c>
      <c r="Y175" s="26">
        <f t="shared" si="37"/>
        <v>10570033</v>
      </c>
      <c r="Z175" s="26"/>
      <c r="AA175" s="8">
        <v>0</v>
      </c>
      <c r="AB175" s="26">
        <f t="shared" si="38"/>
        <v>10570033</v>
      </c>
      <c r="AD175" s="6">
        <v>45462</v>
      </c>
      <c r="AE175" s="8">
        <v>11064917</v>
      </c>
      <c r="AF175" s="8">
        <v>2208130</v>
      </c>
      <c r="AG175" s="8">
        <v>197160</v>
      </c>
      <c r="AH175" s="5">
        <f t="shared" si="50"/>
        <v>13470207</v>
      </c>
      <c r="AI175" s="26">
        <v>1594716</v>
      </c>
      <c r="AJ175" s="8">
        <v>0</v>
      </c>
      <c r="AK175" s="5">
        <f t="shared" si="41"/>
        <v>15064923</v>
      </c>
      <c r="AM175" s="6">
        <v>45828</v>
      </c>
      <c r="AN175" s="8">
        <v>6166381</v>
      </c>
      <c r="AO175" s="8">
        <v>2171300</v>
      </c>
      <c r="AP175" s="8">
        <v>219490</v>
      </c>
      <c r="AQ175" s="5">
        <f t="shared" si="46"/>
        <v>8557171</v>
      </c>
      <c r="AR175" s="26">
        <v>1322190</v>
      </c>
      <c r="AS175" s="5">
        <v>21470</v>
      </c>
      <c r="AT175" s="8">
        <f t="shared" si="39"/>
        <v>1343660</v>
      </c>
      <c r="AU175" s="26"/>
      <c r="AV175" s="5">
        <f t="shared" si="47"/>
        <v>9900831</v>
      </c>
      <c r="AX175" s="6">
        <v>46194</v>
      </c>
      <c r="AY175" s="8">
        <v>3886150</v>
      </c>
      <c r="AZ175" s="8">
        <v>889330</v>
      </c>
      <c r="BA175" s="8">
        <v>247290</v>
      </c>
      <c r="BB175" s="20">
        <f t="shared" si="45"/>
        <v>5022770</v>
      </c>
      <c r="BC175" s="26">
        <v>1167030</v>
      </c>
      <c r="BD175" s="5">
        <v>285400</v>
      </c>
      <c r="BE175" s="8">
        <f t="shared" si="42"/>
        <v>1452430</v>
      </c>
      <c r="BF175" s="26">
        <v>150000</v>
      </c>
      <c r="BG175" s="20">
        <f t="shared" si="48"/>
        <v>6625200</v>
      </c>
    </row>
    <row r="176" spans="1:59">
      <c r="A176" s="6">
        <v>44006</v>
      </c>
      <c r="B176" s="8">
        <v>14776551</v>
      </c>
      <c r="C176" s="8">
        <v>3002560</v>
      </c>
      <c r="D176" s="11">
        <f t="shared" si="34"/>
        <v>17779111</v>
      </c>
      <c r="F176" s="18">
        <v>44370</v>
      </c>
      <c r="G176" s="5">
        <v>6567057</v>
      </c>
      <c r="H176" s="5">
        <v>1953340</v>
      </c>
      <c r="I176" s="8">
        <v>464060</v>
      </c>
      <c r="K176" s="7">
        <f t="shared" si="35"/>
        <v>8984457</v>
      </c>
      <c r="M176" s="6">
        <v>44734</v>
      </c>
      <c r="N176" s="5">
        <v>5832810</v>
      </c>
      <c r="O176" s="5">
        <v>2824350</v>
      </c>
      <c r="P176" s="5">
        <v>218810</v>
      </c>
      <c r="Q176" s="5">
        <f t="shared" si="19"/>
        <v>8875970</v>
      </c>
      <c r="R176" s="5">
        <v>93900</v>
      </c>
      <c r="S176" s="5">
        <f t="shared" si="49"/>
        <v>8969870</v>
      </c>
      <c r="U176" s="6">
        <v>45098</v>
      </c>
      <c r="V176" s="8">
        <v>6961232</v>
      </c>
      <c r="W176" s="8">
        <v>2271720</v>
      </c>
      <c r="X176" s="8">
        <v>505900</v>
      </c>
      <c r="Y176" s="26">
        <f t="shared" si="37"/>
        <v>9738852</v>
      </c>
      <c r="Z176" s="26"/>
      <c r="AA176" s="8">
        <v>0</v>
      </c>
      <c r="AB176" s="26">
        <f t="shared" si="38"/>
        <v>9738852</v>
      </c>
      <c r="AD176" s="6">
        <v>45463</v>
      </c>
      <c r="AE176" s="8">
        <v>9486234</v>
      </c>
      <c r="AF176" s="8">
        <v>2257550</v>
      </c>
      <c r="AG176" s="8">
        <v>258110</v>
      </c>
      <c r="AH176" s="5">
        <f t="shared" si="50"/>
        <v>12001894</v>
      </c>
      <c r="AI176" s="26">
        <v>962040</v>
      </c>
      <c r="AJ176" s="8">
        <v>0</v>
      </c>
      <c r="AK176" s="5">
        <f t="shared" si="41"/>
        <v>12963934</v>
      </c>
      <c r="AM176" s="6">
        <v>45829</v>
      </c>
      <c r="AN176" s="8">
        <v>4075921</v>
      </c>
      <c r="AO176" s="8">
        <v>1564610</v>
      </c>
      <c r="AP176" s="8">
        <v>351040</v>
      </c>
      <c r="AQ176" s="5">
        <f t="shared" si="46"/>
        <v>5991571</v>
      </c>
      <c r="AR176" s="26">
        <v>858458</v>
      </c>
      <c r="AS176" s="5">
        <v>0</v>
      </c>
      <c r="AT176" s="8">
        <f t="shared" si="39"/>
        <v>858458</v>
      </c>
      <c r="AU176" s="26"/>
      <c r="AV176" s="5">
        <f t="shared" si="47"/>
        <v>6850029</v>
      </c>
      <c r="AX176" s="6">
        <v>46195</v>
      </c>
      <c r="AY176" s="8">
        <v>6255018</v>
      </c>
      <c r="AZ176" s="8">
        <v>1625340</v>
      </c>
      <c r="BA176" s="8">
        <v>360410</v>
      </c>
      <c r="BB176" s="20">
        <f t="shared" si="45"/>
        <v>8240768</v>
      </c>
      <c r="BC176" s="26">
        <v>1106315</v>
      </c>
      <c r="BD176" s="5">
        <v>201700</v>
      </c>
      <c r="BE176" s="8">
        <f t="shared" si="42"/>
        <v>1308015</v>
      </c>
      <c r="BF176" s="26">
        <v>167000</v>
      </c>
      <c r="BG176" s="20">
        <f t="shared" si="48"/>
        <v>9715783</v>
      </c>
    </row>
    <row r="177" spans="1:59">
      <c r="A177" s="6">
        <v>44007</v>
      </c>
      <c r="B177" s="8">
        <v>15231334</v>
      </c>
      <c r="C177" s="8">
        <v>3507130</v>
      </c>
      <c r="D177" s="11">
        <f t="shared" si="34"/>
        <v>18738464</v>
      </c>
      <c r="F177" s="18">
        <v>44371</v>
      </c>
      <c r="G177" s="5">
        <v>7251268</v>
      </c>
      <c r="H177" s="5">
        <v>1706949</v>
      </c>
      <c r="I177" s="8">
        <v>621240</v>
      </c>
      <c r="K177" s="7">
        <f t="shared" si="35"/>
        <v>9579457</v>
      </c>
      <c r="M177" s="6">
        <v>44735</v>
      </c>
      <c r="N177" s="5">
        <v>6190510</v>
      </c>
      <c r="O177" s="5">
        <v>3405972</v>
      </c>
      <c r="P177" s="5">
        <v>306620</v>
      </c>
      <c r="Q177" s="5">
        <f t="shared" si="19"/>
        <v>9903102</v>
      </c>
      <c r="R177" s="5">
        <v>54300</v>
      </c>
      <c r="S177" s="5">
        <f t="shared" si="49"/>
        <v>9957402</v>
      </c>
      <c r="U177" s="6">
        <v>45099</v>
      </c>
      <c r="V177" s="8">
        <v>7445698</v>
      </c>
      <c r="W177" s="8">
        <v>2856980</v>
      </c>
      <c r="X177" s="8">
        <v>550220</v>
      </c>
      <c r="Y177" s="26">
        <f t="shared" si="37"/>
        <v>10852898</v>
      </c>
      <c r="Z177" s="26"/>
      <c r="AA177" s="8">
        <v>14900</v>
      </c>
      <c r="AB177" s="26">
        <f t="shared" si="38"/>
        <v>10867798</v>
      </c>
      <c r="AD177" s="6">
        <v>45464</v>
      </c>
      <c r="AE177" s="8">
        <v>5483513</v>
      </c>
      <c r="AF177" s="8">
        <v>916420</v>
      </c>
      <c r="AG177" s="8">
        <v>141230</v>
      </c>
      <c r="AH177" s="5">
        <f t="shared" si="50"/>
        <v>6541163</v>
      </c>
      <c r="AI177" s="26">
        <v>925810</v>
      </c>
      <c r="AJ177" s="8">
        <v>0</v>
      </c>
      <c r="AK177" s="5">
        <f t="shared" si="41"/>
        <v>7466973</v>
      </c>
      <c r="AM177" s="6">
        <v>45830</v>
      </c>
      <c r="AN177" s="8">
        <v>3991792</v>
      </c>
      <c r="AO177" s="8">
        <v>1205370</v>
      </c>
      <c r="AP177" s="8">
        <v>502100</v>
      </c>
      <c r="AQ177" s="5">
        <f t="shared" si="46"/>
        <v>5699262</v>
      </c>
      <c r="AR177" s="26">
        <v>1083650</v>
      </c>
      <c r="AS177" s="5">
        <v>0</v>
      </c>
      <c r="AT177" s="8">
        <f t="shared" si="39"/>
        <v>1083650</v>
      </c>
      <c r="AU177" s="26"/>
      <c r="AV177" s="5">
        <f t="shared" si="47"/>
        <v>6782912</v>
      </c>
      <c r="AX177" s="6">
        <v>46196</v>
      </c>
      <c r="AY177" s="8">
        <v>8658570</v>
      </c>
      <c r="AZ177" s="8">
        <v>2102610</v>
      </c>
      <c r="BA177" s="8">
        <v>381310</v>
      </c>
      <c r="BB177" s="20">
        <f t="shared" si="45"/>
        <v>11142490</v>
      </c>
      <c r="BC177" s="26">
        <v>1669425</v>
      </c>
      <c r="BD177" s="5">
        <v>211100</v>
      </c>
      <c r="BE177" s="8">
        <f t="shared" si="42"/>
        <v>1880525</v>
      </c>
      <c r="BF177" s="26">
        <v>258880</v>
      </c>
      <c r="BG177" s="20">
        <f t="shared" si="48"/>
        <v>13281895</v>
      </c>
    </row>
    <row r="178" spans="1:59">
      <c r="A178" s="6">
        <v>44008</v>
      </c>
      <c r="B178" s="8">
        <v>8444262</v>
      </c>
      <c r="C178" s="8">
        <v>2661730</v>
      </c>
      <c r="D178" s="11">
        <f t="shared" si="34"/>
        <v>11105992</v>
      </c>
      <c r="F178" s="18">
        <v>44372</v>
      </c>
      <c r="G178" s="5">
        <v>2287415</v>
      </c>
      <c r="H178" s="5">
        <v>1104580</v>
      </c>
      <c r="I178" s="8">
        <v>435580</v>
      </c>
      <c r="K178" s="7">
        <f t="shared" si="35"/>
        <v>3827575</v>
      </c>
      <c r="M178" s="6">
        <v>44736</v>
      </c>
      <c r="N178" s="5">
        <v>7904845</v>
      </c>
      <c r="O178" s="5">
        <v>2403750</v>
      </c>
      <c r="P178" s="5">
        <v>268560</v>
      </c>
      <c r="Q178" s="5">
        <f t="shared" si="19"/>
        <v>10577155</v>
      </c>
      <c r="R178" s="5">
        <v>18900</v>
      </c>
      <c r="S178" s="5">
        <f t="shared" si="49"/>
        <v>10596055</v>
      </c>
      <c r="U178" s="6">
        <v>45100</v>
      </c>
      <c r="V178" s="8">
        <v>3065937</v>
      </c>
      <c r="W178" s="8">
        <v>884560</v>
      </c>
      <c r="X178" s="8">
        <v>222850</v>
      </c>
      <c r="Y178" s="26">
        <f t="shared" si="37"/>
        <v>4173347</v>
      </c>
      <c r="Z178" s="26"/>
      <c r="AA178" s="8">
        <v>28310</v>
      </c>
      <c r="AB178" s="26">
        <f t="shared" si="38"/>
        <v>4201657</v>
      </c>
      <c r="AD178" s="6">
        <v>45465</v>
      </c>
      <c r="AE178" s="8">
        <v>4607244</v>
      </c>
      <c r="AF178" s="8">
        <v>1491640</v>
      </c>
      <c r="AG178" s="8">
        <v>109540</v>
      </c>
      <c r="AH178" s="5">
        <f t="shared" si="50"/>
        <v>6208424</v>
      </c>
      <c r="AI178" s="26">
        <v>838550</v>
      </c>
      <c r="AJ178" s="8">
        <v>0</v>
      </c>
      <c r="AK178" s="5">
        <f t="shared" si="41"/>
        <v>7046974</v>
      </c>
      <c r="AM178" s="6">
        <v>45831</v>
      </c>
      <c r="AN178" s="8">
        <v>8097472</v>
      </c>
      <c r="AO178" s="8">
        <v>2231580</v>
      </c>
      <c r="AP178" s="8">
        <v>35800</v>
      </c>
      <c r="AQ178" s="5">
        <f t="shared" si="46"/>
        <v>10364852</v>
      </c>
      <c r="AR178" s="26">
        <v>1799175</v>
      </c>
      <c r="AS178" s="5">
        <v>12900</v>
      </c>
      <c r="AT178" s="8">
        <f t="shared" si="39"/>
        <v>1812075</v>
      </c>
      <c r="AU178" s="26"/>
      <c r="AV178" s="5">
        <f t="shared" si="47"/>
        <v>12176927</v>
      </c>
      <c r="AX178" s="6">
        <v>46197</v>
      </c>
      <c r="AY178" s="8">
        <v>8824530</v>
      </c>
      <c r="AZ178" s="8">
        <v>1488170</v>
      </c>
      <c r="BA178" s="8">
        <v>186820</v>
      </c>
      <c r="BB178" s="20">
        <f t="shared" si="45"/>
        <v>10499520</v>
      </c>
      <c r="BC178" s="26">
        <v>1683575</v>
      </c>
      <c r="BD178" s="5">
        <v>118700</v>
      </c>
      <c r="BE178" s="8">
        <f t="shared" si="42"/>
        <v>1802275</v>
      </c>
      <c r="BF178" s="26">
        <v>319220</v>
      </c>
      <c r="BG178" s="20">
        <f t="shared" si="48"/>
        <v>12621015</v>
      </c>
    </row>
    <row r="179" spans="1:59">
      <c r="A179" s="6">
        <v>44009</v>
      </c>
      <c r="B179" s="8">
        <v>6974363</v>
      </c>
      <c r="C179" s="8">
        <v>927500</v>
      </c>
      <c r="D179" s="11">
        <f t="shared" si="34"/>
        <v>7901863</v>
      </c>
      <c r="F179" s="18">
        <v>44373</v>
      </c>
      <c r="G179" s="5">
        <v>2182562</v>
      </c>
      <c r="H179" s="5">
        <v>1000870</v>
      </c>
      <c r="I179" s="8">
        <v>480570</v>
      </c>
      <c r="K179" s="7">
        <f t="shared" si="35"/>
        <v>3664002</v>
      </c>
      <c r="M179" s="6">
        <v>44737</v>
      </c>
      <c r="N179" s="5">
        <v>2288209</v>
      </c>
      <c r="O179" s="5">
        <v>1489570</v>
      </c>
      <c r="P179" s="5">
        <v>24710</v>
      </c>
      <c r="Q179" s="5">
        <f t="shared" si="19"/>
        <v>3802489</v>
      </c>
      <c r="R179" s="5">
        <v>18900</v>
      </c>
      <c r="S179" s="5">
        <f t="shared" si="49"/>
        <v>3821389</v>
      </c>
      <c r="U179" s="6">
        <v>45101</v>
      </c>
      <c r="V179" s="8">
        <v>2224600</v>
      </c>
      <c r="W179" s="8">
        <v>596250</v>
      </c>
      <c r="X179" s="8">
        <v>381280</v>
      </c>
      <c r="Y179" s="26">
        <f t="shared" si="37"/>
        <v>3202130</v>
      </c>
      <c r="Z179" s="26"/>
      <c r="AA179" s="8">
        <v>0</v>
      </c>
      <c r="AB179" s="26">
        <f t="shared" si="38"/>
        <v>3202130</v>
      </c>
      <c r="AD179" s="6">
        <v>45466</v>
      </c>
      <c r="AE179" s="8">
        <v>4918824</v>
      </c>
      <c r="AF179" s="8">
        <v>976050</v>
      </c>
      <c r="AG179" s="8">
        <v>269510</v>
      </c>
      <c r="AH179" s="5">
        <f t="shared" si="50"/>
        <v>6164384</v>
      </c>
      <c r="AI179" s="26">
        <v>1260330</v>
      </c>
      <c r="AJ179" s="8">
        <v>16500</v>
      </c>
      <c r="AK179" s="5">
        <f t="shared" si="41"/>
        <v>7441214</v>
      </c>
      <c r="AM179" s="6">
        <v>45832</v>
      </c>
      <c r="AN179" s="8">
        <v>6224294</v>
      </c>
      <c r="AO179" s="8">
        <v>2270460</v>
      </c>
      <c r="AP179" s="8">
        <v>462740</v>
      </c>
      <c r="AQ179" s="5">
        <f t="shared" si="46"/>
        <v>8957494</v>
      </c>
      <c r="AR179" s="26">
        <v>1462350</v>
      </c>
      <c r="AS179" s="5">
        <v>21470</v>
      </c>
      <c r="AT179" s="8">
        <f t="shared" si="39"/>
        <v>1483820</v>
      </c>
      <c r="AU179" s="26"/>
      <c r="AV179" s="5">
        <f t="shared" si="47"/>
        <v>10441314</v>
      </c>
      <c r="AX179" s="6">
        <v>46198</v>
      </c>
      <c r="AY179" s="8">
        <v>7344560</v>
      </c>
      <c r="AZ179" s="8">
        <v>1911510</v>
      </c>
      <c r="BA179" s="8">
        <v>243580</v>
      </c>
      <c r="BB179" s="20">
        <f t="shared" si="45"/>
        <v>9499650</v>
      </c>
      <c r="BC179" s="26">
        <v>3005735</v>
      </c>
      <c r="BD179" s="5">
        <v>126100</v>
      </c>
      <c r="BE179" s="8">
        <f t="shared" si="42"/>
        <v>3131835</v>
      </c>
      <c r="BF179" s="26">
        <v>50000</v>
      </c>
      <c r="BG179" s="20">
        <f t="shared" si="48"/>
        <v>12681485</v>
      </c>
    </row>
    <row r="180" spans="1:59">
      <c r="A180" s="6">
        <v>44010</v>
      </c>
      <c r="B180" s="8">
        <v>4150537</v>
      </c>
      <c r="C180" s="8">
        <v>3024230</v>
      </c>
      <c r="D180" s="11">
        <f t="shared" si="34"/>
        <v>7174767</v>
      </c>
      <c r="F180" s="18">
        <v>44374</v>
      </c>
      <c r="G180" s="5">
        <v>3101471</v>
      </c>
      <c r="H180" s="5">
        <v>1218710</v>
      </c>
      <c r="I180" s="8">
        <v>356420</v>
      </c>
      <c r="K180" s="7">
        <f t="shared" si="35"/>
        <v>4676601</v>
      </c>
      <c r="M180" s="6">
        <v>44738</v>
      </c>
      <c r="N180" s="5">
        <v>2062870</v>
      </c>
      <c r="O180" s="5">
        <v>1258160</v>
      </c>
      <c r="P180" s="5">
        <v>307970</v>
      </c>
      <c r="Q180" s="5">
        <f t="shared" si="19"/>
        <v>3629000</v>
      </c>
      <c r="R180" s="5">
        <v>86300</v>
      </c>
      <c r="S180" s="5">
        <f t="shared" si="49"/>
        <v>3715300</v>
      </c>
      <c r="U180" s="6">
        <v>45102</v>
      </c>
      <c r="V180" s="8">
        <v>1711145</v>
      </c>
      <c r="W180" s="8">
        <v>1157850</v>
      </c>
      <c r="X180" s="8">
        <v>486490</v>
      </c>
      <c r="Y180" s="26">
        <f t="shared" si="37"/>
        <v>3355485</v>
      </c>
      <c r="Z180" s="26"/>
      <c r="AA180" s="8">
        <v>0</v>
      </c>
      <c r="AB180" s="26">
        <f t="shared" si="38"/>
        <v>3355485</v>
      </c>
      <c r="AD180" s="6">
        <v>45467</v>
      </c>
      <c r="AE180" s="8">
        <v>10947668</v>
      </c>
      <c r="AF180" s="8">
        <v>2653970</v>
      </c>
      <c r="AG180" s="8">
        <v>256610</v>
      </c>
      <c r="AH180" s="5">
        <f t="shared" si="50"/>
        <v>13858248</v>
      </c>
      <c r="AI180" s="26">
        <v>2791010</v>
      </c>
      <c r="AJ180" s="8">
        <v>0</v>
      </c>
      <c r="AK180" s="5">
        <f t="shared" si="41"/>
        <v>16649258</v>
      </c>
      <c r="AM180" s="6">
        <v>45833</v>
      </c>
      <c r="AN180" s="8">
        <v>7526619</v>
      </c>
      <c r="AO180" s="8">
        <v>2755430</v>
      </c>
      <c r="AP180" s="8">
        <v>330910</v>
      </c>
      <c r="AQ180" s="5">
        <f t="shared" si="46"/>
        <v>10612959</v>
      </c>
      <c r="AR180" s="26">
        <v>999390</v>
      </c>
      <c r="AS180" s="5">
        <v>0</v>
      </c>
      <c r="AT180" s="8">
        <f t="shared" si="39"/>
        <v>999390</v>
      </c>
      <c r="AU180" s="26"/>
      <c r="AV180" s="5">
        <f t="shared" si="47"/>
        <v>11612349</v>
      </c>
      <c r="AX180" s="6">
        <v>46199</v>
      </c>
      <c r="AY180" s="8">
        <v>6143700</v>
      </c>
      <c r="AZ180" s="8">
        <v>1186210</v>
      </c>
      <c r="BA180" s="8">
        <v>305810</v>
      </c>
      <c r="BB180" s="20">
        <f t="shared" si="45"/>
        <v>7635720</v>
      </c>
      <c r="BC180" s="26">
        <v>427590</v>
      </c>
      <c r="BD180" s="5">
        <v>125000</v>
      </c>
      <c r="BE180" s="8">
        <f t="shared" si="42"/>
        <v>552590</v>
      </c>
      <c r="BF180" s="26">
        <v>49780</v>
      </c>
      <c r="BG180" s="20">
        <f t="shared" si="48"/>
        <v>8238090</v>
      </c>
    </row>
    <row r="181" spans="1:59">
      <c r="A181" s="6">
        <v>44011</v>
      </c>
      <c r="B181" s="8">
        <v>4131376</v>
      </c>
      <c r="C181" s="8">
        <v>3940190</v>
      </c>
      <c r="D181" s="11">
        <f t="shared" si="34"/>
        <v>8071566</v>
      </c>
      <c r="F181" s="18">
        <v>44375</v>
      </c>
      <c r="G181" s="5">
        <v>4148591</v>
      </c>
      <c r="H181" s="5">
        <v>2002510</v>
      </c>
      <c r="I181" s="8">
        <v>676480</v>
      </c>
      <c r="K181" s="7">
        <f t="shared" si="35"/>
        <v>6827581</v>
      </c>
      <c r="M181" s="6">
        <v>44739</v>
      </c>
      <c r="N181" s="5">
        <v>9285725</v>
      </c>
      <c r="O181" s="5">
        <v>4018340</v>
      </c>
      <c r="P181" s="5">
        <v>78060</v>
      </c>
      <c r="Q181" s="5">
        <f t="shared" si="19"/>
        <v>13382125</v>
      </c>
      <c r="R181" s="5">
        <v>72000</v>
      </c>
      <c r="S181" s="5">
        <f t="shared" si="49"/>
        <v>13454125</v>
      </c>
      <c r="U181" s="6">
        <v>45103</v>
      </c>
      <c r="V181" s="8">
        <v>4884504</v>
      </c>
      <c r="W181" s="8">
        <v>1576220</v>
      </c>
      <c r="X181" s="8">
        <v>394350</v>
      </c>
      <c r="Y181" s="26">
        <f t="shared" si="37"/>
        <v>6855074</v>
      </c>
      <c r="Z181" s="26"/>
      <c r="AA181" s="8">
        <v>0</v>
      </c>
      <c r="AB181" s="26">
        <f t="shared" si="38"/>
        <v>6855074</v>
      </c>
      <c r="AD181" s="6">
        <v>45468</v>
      </c>
      <c r="AE181" s="8">
        <v>6750472</v>
      </c>
      <c r="AF181" s="8">
        <v>2316720</v>
      </c>
      <c r="AG181" s="8">
        <v>131190</v>
      </c>
      <c r="AH181" s="5">
        <f t="shared" si="50"/>
        <v>9198382</v>
      </c>
      <c r="AI181" s="26">
        <v>2762520</v>
      </c>
      <c r="AJ181" s="8">
        <v>0</v>
      </c>
      <c r="AK181" s="5">
        <f t="shared" si="41"/>
        <v>11960902</v>
      </c>
      <c r="AM181" s="6">
        <v>45834</v>
      </c>
      <c r="AN181" s="8">
        <v>8316475</v>
      </c>
      <c r="AO181" s="8">
        <v>1948040</v>
      </c>
      <c r="AP181" s="8">
        <v>442130</v>
      </c>
      <c r="AQ181" s="5">
        <f t="shared" si="46"/>
        <v>10706645</v>
      </c>
      <c r="AR181" s="26">
        <v>3139220</v>
      </c>
      <c r="AS181" s="5">
        <v>0</v>
      </c>
      <c r="AT181" s="8">
        <f t="shared" si="39"/>
        <v>3139220</v>
      </c>
      <c r="AU181" s="26"/>
      <c r="AV181" s="5">
        <f t="shared" si="47"/>
        <v>13845865</v>
      </c>
      <c r="AX181" s="6">
        <v>46200</v>
      </c>
      <c r="AY181" s="8">
        <v>4903700</v>
      </c>
      <c r="AZ181" s="8">
        <v>831950</v>
      </c>
      <c r="BA181" s="8">
        <v>263800</v>
      </c>
      <c r="BB181" s="20">
        <f t="shared" si="45"/>
        <v>5999450</v>
      </c>
      <c r="BC181" s="26">
        <v>521390</v>
      </c>
      <c r="BD181" s="5">
        <v>109700</v>
      </c>
      <c r="BE181" s="8">
        <f t="shared" si="42"/>
        <v>631090</v>
      </c>
      <c r="BF181" s="26">
        <v>37500</v>
      </c>
      <c r="BG181" s="20">
        <f t="shared" si="48"/>
        <v>6668040</v>
      </c>
    </row>
    <row r="182" spans="1:59">
      <c r="A182" s="6">
        <v>44012</v>
      </c>
      <c r="B182" s="8">
        <v>8742087</v>
      </c>
      <c r="C182" s="8">
        <v>4237200</v>
      </c>
      <c r="D182" s="11">
        <f t="shared" si="34"/>
        <v>12979287</v>
      </c>
      <c r="F182" s="18">
        <v>44376</v>
      </c>
      <c r="G182" s="5">
        <v>8188735</v>
      </c>
      <c r="H182" s="5">
        <v>2037225</v>
      </c>
      <c r="I182" s="8">
        <v>331600</v>
      </c>
      <c r="K182" s="7">
        <f t="shared" si="35"/>
        <v>10557560</v>
      </c>
      <c r="M182" s="6">
        <v>44740</v>
      </c>
      <c r="N182" s="5">
        <v>10094116</v>
      </c>
      <c r="O182" s="5">
        <v>4771280</v>
      </c>
      <c r="P182" s="5">
        <v>264570</v>
      </c>
      <c r="Q182" s="5">
        <f t="shared" si="19"/>
        <v>15129966</v>
      </c>
      <c r="R182" s="5">
        <v>52530</v>
      </c>
      <c r="S182" s="5">
        <f t="shared" si="49"/>
        <v>15182496</v>
      </c>
      <c r="U182" s="6">
        <v>45104</v>
      </c>
      <c r="V182" s="8">
        <v>7830585</v>
      </c>
      <c r="W182" s="8">
        <v>2824510</v>
      </c>
      <c r="X182" s="8">
        <v>206400</v>
      </c>
      <c r="Y182" s="26">
        <f t="shared" si="37"/>
        <v>10861495</v>
      </c>
      <c r="Z182" s="26"/>
      <c r="AA182" s="8">
        <v>14900</v>
      </c>
      <c r="AB182" s="26">
        <f t="shared" si="38"/>
        <v>10876395</v>
      </c>
      <c r="AD182" s="6">
        <v>45469</v>
      </c>
      <c r="AE182" s="8">
        <v>6940122</v>
      </c>
      <c r="AF182" s="8">
        <v>1787150</v>
      </c>
      <c r="AG182" s="8">
        <v>215920</v>
      </c>
      <c r="AH182" s="5">
        <f t="shared" si="50"/>
        <v>8943192</v>
      </c>
      <c r="AI182" s="26">
        <v>2040720</v>
      </c>
      <c r="AJ182" s="8">
        <v>16500</v>
      </c>
      <c r="AK182" s="5">
        <f t="shared" si="41"/>
        <v>11000412</v>
      </c>
      <c r="AM182" s="6">
        <v>45835</v>
      </c>
      <c r="AN182" s="8">
        <v>6067509</v>
      </c>
      <c r="AO182" s="8">
        <v>1212650</v>
      </c>
      <c r="AP182" s="8">
        <v>260850</v>
      </c>
      <c r="AQ182" s="5">
        <f t="shared" si="46"/>
        <v>7541009</v>
      </c>
      <c r="AR182" s="26">
        <v>1083425</v>
      </c>
      <c r="AS182" s="5">
        <v>0</v>
      </c>
      <c r="AT182" s="8">
        <f t="shared" si="39"/>
        <v>1083425</v>
      </c>
      <c r="AU182" s="26"/>
      <c r="AV182" s="5">
        <f t="shared" si="47"/>
        <v>8624434</v>
      </c>
      <c r="AX182" s="6">
        <v>46201</v>
      </c>
      <c r="AY182" s="8">
        <v>4265880</v>
      </c>
      <c r="AZ182" s="8">
        <v>815310</v>
      </c>
      <c r="BA182" s="8">
        <v>311410</v>
      </c>
      <c r="BB182" s="20">
        <f t="shared" si="45"/>
        <v>5392600</v>
      </c>
      <c r="BC182" s="26">
        <v>646105</v>
      </c>
      <c r="BD182" s="5">
        <v>194700</v>
      </c>
      <c r="BE182" s="8">
        <f t="shared" si="42"/>
        <v>840805</v>
      </c>
      <c r="BF182" s="26">
        <v>37500</v>
      </c>
      <c r="BG182" s="20">
        <f t="shared" si="48"/>
        <v>6270905</v>
      </c>
    </row>
    <row r="183" spans="1:59">
      <c r="A183" s="6">
        <v>44013</v>
      </c>
      <c r="B183" s="8">
        <v>13578746</v>
      </c>
      <c r="C183" s="8">
        <v>4450850</v>
      </c>
      <c r="D183" s="11">
        <f t="shared" si="34"/>
        <v>18029596</v>
      </c>
      <c r="F183" s="18">
        <v>44377</v>
      </c>
      <c r="G183" s="5">
        <v>11063820</v>
      </c>
      <c r="H183" s="5">
        <v>1884070</v>
      </c>
      <c r="I183" s="8">
        <v>681890</v>
      </c>
      <c r="K183" s="7">
        <f t="shared" si="35"/>
        <v>13629780</v>
      </c>
      <c r="M183" s="6">
        <v>44741</v>
      </c>
      <c r="N183" s="5">
        <v>10827855</v>
      </c>
      <c r="O183" s="5">
        <v>3477071</v>
      </c>
      <c r="P183" s="5">
        <v>207160</v>
      </c>
      <c r="Q183" s="5">
        <f t="shared" si="19"/>
        <v>14512086</v>
      </c>
      <c r="R183" s="5">
        <v>70230</v>
      </c>
      <c r="S183" s="5">
        <f t="shared" si="49"/>
        <v>14582316</v>
      </c>
      <c r="U183" s="6">
        <v>45105</v>
      </c>
      <c r="V183" s="8">
        <v>7162989</v>
      </c>
      <c r="W183" s="8">
        <v>3316360</v>
      </c>
      <c r="X183" s="8">
        <v>249300</v>
      </c>
      <c r="Y183" s="26">
        <f t="shared" si="37"/>
        <v>10728649</v>
      </c>
      <c r="Z183" s="26"/>
      <c r="AA183" s="8">
        <v>14900</v>
      </c>
      <c r="AB183" s="26">
        <f t="shared" si="38"/>
        <v>10743549</v>
      </c>
      <c r="AD183" s="6">
        <v>45470</v>
      </c>
      <c r="AE183" s="8">
        <v>7938766</v>
      </c>
      <c r="AF183" s="8">
        <v>1678180</v>
      </c>
      <c r="AG183" s="8">
        <v>91150</v>
      </c>
      <c r="AH183" s="5">
        <f t="shared" si="50"/>
        <v>9708096</v>
      </c>
      <c r="AI183" s="26">
        <v>2356240</v>
      </c>
      <c r="AJ183" s="8">
        <v>0</v>
      </c>
      <c r="AK183" s="5">
        <f t="shared" si="41"/>
        <v>12064336</v>
      </c>
      <c r="AM183" s="6">
        <v>45836</v>
      </c>
      <c r="AN183" s="8">
        <v>3390727</v>
      </c>
      <c r="AO183" s="8">
        <v>929130</v>
      </c>
      <c r="AP183" s="8">
        <v>393060</v>
      </c>
      <c r="AQ183" s="5">
        <f t="shared" si="46"/>
        <v>4712917</v>
      </c>
      <c r="AR183" s="26">
        <v>552370</v>
      </c>
      <c r="AS183" s="5">
        <v>0</v>
      </c>
      <c r="AT183" s="8">
        <f t="shared" si="39"/>
        <v>552370</v>
      </c>
      <c r="AU183" s="26"/>
      <c r="AV183" s="5">
        <f t="shared" si="47"/>
        <v>5265287</v>
      </c>
      <c r="AX183" s="6">
        <v>46202</v>
      </c>
      <c r="AY183" s="8">
        <v>11843390</v>
      </c>
      <c r="AZ183" s="8">
        <v>2134180</v>
      </c>
      <c r="BA183" s="8">
        <v>290930</v>
      </c>
      <c r="BB183" s="20">
        <f t="shared" si="45"/>
        <v>14268500</v>
      </c>
      <c r="BC183" s="26">
        <v>523400</v>
      </c>
      <c r="BD183" s="5">
        <v>231500</v>
      </c>
      <c r="BE183" s="8">
        <f t="shared" si="42"/>
        <v>754900</v>
      </c>
      <c r="BF183" s="26">
        <v>165850</v>
      </c>
      <c r="BG183" s="20">
        <f t="shared" si="48"/>
        <v>15189250</v>
      </c>
    </row>
    <row r="184" spans="1:59">
      <c r="A184" s="6">
        <v>44014</v>
      </c>
      <c r="B184" s="8">
        <v>14354750</v>
      </c>
      <c r="C184" s="8">
        <v>3117480</v>
      </c>
      <c r="D184" s="11">
        <f t="shared" si="34"/>
        <v>17472230</v>
      </c>
      <c r="F184" s="18">
        <v>44378</v>
      </c>
      <c r="G184" s="5">
        <v>9921250</v>
      </c>
      <c r="H184" s="5">
        <v>2591050</v>
      </c>
      <c r="I184" s="8">
        <v>723030</v>
      </c>
      <c r="K184" s="7">
        <f t="shared" si="35"/>
        <v>13235330</v>
      </c>
      <c r="M184" s="6">
        <v>44742</v>
      </c>
      <c r="N184" s="5">
        <v>12868048</v>
      </c>
      <c r="O184" s="5">
        <v>4832396</v>
      </c>
      <c r="P184" s="5">
        <v>219400</v>
      </c>
      <c r="Q184" s="5">
        <f t="shared" si="19"/>
        <v>17919844</v>
      </c>
      <c r="R184" s="5">
        <v>160010</v>
      </c>
      <c r="S184" s="5">
        <f t="shared" si="49"/>
        <v>18079854</v>
      </c>
      <c r="U184" s="6">
        <v>45106</v>
      </c>
      <c r="V184" s="8">
        <v>9981348</v>
      </c>
      <c r="W184" s="8">
        <v>3007370</v>
      </c>
      <c r="X184" s="8">
        <v>301720</v>
      </c>
      <c r="Y184" s="26">
        <f t="shared" si="37"/>
        <v>13290438</v>
      </c>
      <c r="Z184" s="26"/>
      <c r="AA184" s="8">
        <v>0</v>
      </c>
      <c r="AB184" s="26">
        <f t="shared" si="38"/>
        <v>13290438</v>
      </c>
      <c r="AD184" s="6">
        <v>45471</v>
      </c>
      <c r="AE184" s="8">
        <v>5638588</v>
      </c>
      <c r="AF184" s="8">
        <v>1068470</v>
      </c>
      <c r="AG184" s="8">
        <v>327230</v>
      </c>
      <c r="AH184" s="5">
        <f t="shared" si="50"/>
        <v>7034288</v>
      </c>
      <c r="AI184" s="26">
        <v>1693200</v>
      </c>
      <c r="AJ184" s="8">
        <v>0</v>
      </c>
      <c r="AK184" s="5">
        <f t="shared" si="41"/>
        <v>8727488</v>
      </c>
      <c r="AM184" s="6">
        <v>45837</v>
      </c>
      <c r="AN184" s="8">
        <v>6595641</v>
      </c>
      <c r="AO184" s="8">
        <v>1319070</v>
      </c>
      <c r="AP184" s="8">
        <v>291030</v>
      </c>
      <c r="AQ184" s="5">
        <f t="shared" si="46"/>
        <v>8205741</v>
      </c>
      <c r="AR184" s="26">
        <v>1632870</v>
      </c>
      <c r="AS184" s="5">
        <v>0</v>
      </c>
      <c r="AT184" s="8">
        <f t="shared" si="39"/>
        <v>1632870</v>
      </c>
      <c r="AU184" s="26"/>
      <c r="AV184" s="5">
        <f t="shared" si="47"/>
        <v>9838611</v>
      </c>
      <c r="AX184" s="6">
        <v>46203</v>
      </c>
      <c r="AY184" s="8">
        <v>8124530</v>
      </c>
      <c r="AZ184" s="8">
        <v>1610750</v>
      </c>
      <c r="BA184" s="8">
        <v>97840</v>
      </c>
      <c r="BB184" s="20">
        <f t="shared" si="45"/>
        <v>9833120</v>
      </c>
      <c r="BC184" s="26">
        <v>661550</v>
      </c>
      <c r="BD184" s="5">
        <v>59800</v>
      </c>
      <c r="BE184" s="8">
        <f t="shared" si="42"/>
        <v>721350</v>
      </c>
      <c r="BF184" s="26">
        <v>262650</v>
      </c>
      <c r="BG184" s="5">
        <f t="shared" si="48"/>
        <v>10817120</v>
      </c>
    </row>
    <row r="185" spans="1:59">
      <c r="A185" s="12">
        <v>44015</v>
      </c>
      <c r="B185" s="8">
        <v>7669356</v>
      </c>
      <c r="C185" s="8">
        <v>4069115</v>
      </c>
      <c r="D185" s="11">
        <f t="shared" si="34"/>
        <v>11738471</v>
      </c>
      <c r="F185" s="13">
        <v>44379</v>
      </c>
      <c r="G185" s="5">
        <v>13037534</v>
      </c>
      <c r="H185" s="5">
        <v>3988761</v>
      </c>
      <c r="I185" s="8">
        <v>526710</v>
      </c>
      <c r="K185" s="7">
        <f t="shared" si="35"/>
        <v>17553005</v>
      </c>
      <c r="M185" s="6">
        <v>44743</v>
      </c>
      <c r="N185" s="5">
        <v>9796211</v>
      </c>
      <c r="O185" s="5">
        <v>3638060</v>
      </c>
      <c r="P185" s="5">
        <v>282860</v>
      </c>
      <c r="Q185" s="5">
        <f t="shared" si="19"/>
        <v>13717131</v>
      </c>
      <c r="R185" s="5">
        <v>143000</v>
      </c>
      <c r="S185" s="5">
        <f t="shared" si="49"/>
        <v>13860131</v>
      </c>
      <c r="U185" s="6">
        <v>45107</v>
      </c>
      <c r="V185" s="8">
        <v>9625044</v>
      </c>
      <c r="W185" s="8">
        <v>3205200</v>
      </c>
      <c r="X185" s="8">
        <v>344790</v>
      </c>
      <c r="Y185" s="26">
        <f t="shared" si="37"/>
        <v>13175034</v>
      </c>
      <c r="Z185" s="26"/>
      <c r="AA185" s="8">
        <v>0</v>
      </c>
      <c r="AB185" s="26">
        <f t="shared" si="38"/>
        <v>13175034</v>
      </c>
      <c r="AD185" s="6">
        <v>45472</v>
      </c>
      <c r="AE185" s="8">
        <v>3722841</v>
      </c>
      <c r="AF185" s="8">
        <v>997790</v>
      </c>
      <c r="AG185" s="8">
        <v>139630</v>
      </c>
      <c r="AH185" s="5">
        <f t="shared" si="50"/>
        <v>4860261</v>
      </c>
      <c r="AI185" s="26">
        <v>913480</v>
      </c>
      <c r="AJ185" s="8">
        <v>0</v>
      </c>
      <c r="AK185" s="5">
        <f t="shared" si="41"/>
        <v>5773741</v>
      </c>
      <c r="AM185" s="6">
        <v>45838</v>
      </c>
      <c r="AN185" s="8">
        <v>6433603</v>
      </c>
      <c r="AO185" s="8">
        <v>1891730</v>
      </c>
      <c r="AP185" s="8">
        <v>85500</v>
      </c>
      <c r="AQ185" s="5">
        <f t="shared" si="46"/>
        <v>8410833</v>
      </c>
      <c r="AR185" s="26">
        <v>9479100</v>
      </c>
      <c r="AS185" s="5">
        <v>0</v>
      </c>
      <c r="AT185" s="8">
        <f t="shared" si="39"/>
        <v>9479100</v>
      </c>
      <c r="AU185" s="26"/>
      <c r="AV185" s="5">
        <f t="shared" si="47"/>
        <v>17889933</v>
      </c>
      <c r="AX185" s="6">
        <v>46204</v>
      </c>
      <c r="AY185" s="8">
        <v>6418397</v>
      </c>
      <c r="AZ185" s="8">
        <v>1160220</v>
      </c>
      <c r="BA185" s="8">
        <v>357630</v>
      </c>
      <c r="BB185" s="20">
        <f t="shared" si="45"/>
        <v>7936247</v>
      </c>
      <c r="BC185" s="26">
        <v>990730</v>
      </c>
      <c r="BD185" s="5">
        <v>110800</v>
      </c>
      <c r="BE185" s="8">
        <f t="shared" si="42"/>
        <v>1101530</v>
      </c>
      <c r="BF185" s="26">
        <v>170390</v>
      </c>
      <c r="BG185" s="5">
        <f t="shared" si="48"/>
        <v>9208167</v>
      </c>
    </row>
    <row r="186" spans="1:59">
      <c r="A186" s="12">
        <v>44016</v>
      </c>
      <c r="B186" s="8">
        <v>3698936</v>
      </c>
      <c r="C186" s="8">
        <v>2164500</v>
      </c>
      <c r="D186" s="11">
        <f t="shared" si="34"/>
        <v>5863436</v>
      </c>
      <c r="F186" s="13">
        <v>44380</v>
      </c>
      <c r="G186" s="5">
        <v>0</v>
      </c>
      <c r="H186" s="5">
        <v>0</v>
      </c>
      <c r="I186" s="8">
        <v>219210</v>
      </c>
      <c r="K186" s="7">
        <f t="shared" si="35"/>
        <v>219210</v>
      </c>
      <c r="M186" s="6">
        <v>44744</v>
      </c>
      <c r="N186" s="5">
        <v>1433178</v>
      </c>
      <c r="O186" s="5">
        <v>1336630</v>
      </c>
      <c r="P186" s="5">
        <v>55000</v>
      </c>
      <c r="Q186" s="5">
        <f t="shared" si="19"/>
        <v>2824808</v>
      </c>
      <c r="R186" s="5">
        <v>125730</v>
      </c>
      <c r="S186" s="5">
        <f t="shared" si="49"/>
        <v>2950538</v>
      </c>
      <c r="U186" s="6">
        <v>45108</v>
      </c>
      <c r="V186" s="8">
        <v>1218898</v>
      </c>
      <c r="W186" s="8">
        <v>595940</v>
      </c>
      <c r="X186" s="8">
        <v>176550</v>
      </c>
      <c r="Y186" s="26">
        <f t="shared" si="37"/>
        <v>1991388</v>
      </c>
      <c r="Z186" s="26"/>
      <c r="AA186" s="8">
        <v>0</v>
      </c>
      <c r="AB186" s="26">
        <f t="shared" si="38"/>
        <v>1991388</v>
      </c>
      <c r="AD186" s="6">
        <v>45473</v>
      </c>
      <c r="AE186" s="8">
        <v>1366984</v>
      </c>
      <c r="AF186" s="8">
        <v>511560</v>
      </c>
      <c r="AG186" s="8">
        <v>88620</v>
      </c>
      <c r="AH186" s="5">
        <f t="shared" si="50"/>
        <v>1967164</v>
      </c>
      <c r="AI186" s="26">
        <v>3277940</v>
      </c>
      <c r="AJ186" s="8">
        <v>0</v>
      </c>
      <c r="AK186" s="5">
        <f t="shared" si="41"/>
        <v>5245104</v>
      </c>
      <c r="AM186" s="6">
        <v>45839</v>
      </c>
      <c r="AN186" s="8">
        <v>15667118</v>
      </c>
      <c r="AO186" s="8">
        <v>3758760</v>
      </c>
      <c r="AP186" s="8">
        <v>656790</v>
      </c>
      <c r="AQ186" s="5">
        <f t="shared" si="46"/>
        <v>20082668</v>
      </c>
      <c r="AR186" s="26">
        <v>8391950</v>
      </c>
      <c r="AS186" s="5">
        <v>30010</v>
      </c>
      <c r="AT186" s="8">
        <f t="shared" si="39"/>
        <v>8421960</v>
      </c>
      <c r="AU186" s="26"/>
      <c r="AV186" s="5">
        <f t="shared" si="47"/>
        <v>28504628</v>
      </c>
      <c r="AX186" s="6">
        <v>46205</v>
      </c>
      <c r="AY186" s="8">
        <v>4735780</v>
      </c>
      <c r="AZ186" s="8">
        <v>906790</v>
      </c>
      <c r="BA186" s="8">
        <v>244040</v>
      </c>
      <c r="BB186" s="20">
        <f t="shared" si="45"/>
        <v>5886610</v>
      </c>
      <c r="BC186" s="26">
        <v>734260</v>
      </c>
      <c r="BD186" s="5">
        <v>144900</v>
      </c>
      <c r="BE186" s="8">
        <f t="shared" si="42"/>
        <v>879160</v>
      </c>
      <c r="BF186" s="26">
        <v>25000</v>
      </c>
      <c r="BG186" s="5">
        <f t="shared" si="48"/>
        <v>6790770</v>
      </c>
    </row>
    <row r="187" spans="1:59">
      <c r="A187" s="12">
        <v>44017</v>
      </c>
      <c r="B187" s="8">
        <v>4236141</v>
      </c>
      <c r="C187" s="8">
        <v>3268050</v>
      </c>
      <c r="D187" s="11">
        <f t="shared" si="34"/>
        <v>7504191</v>
      </c>
      <c r="F187" s="13">
        <v>44381</v>
      </c>
      <c r="G187" s="5">
        <v>7705415</v>
      </c>
      <c r="H187" s="5">
        <v>2714815</v>
      </c>
      <c r="I187" s="8">
        <v>238870</v>
      </c>
      <c r="K187" s="7">
        <f t="shared" si="35"/>
        <v>10659100</v>
      </c>
      <c r="M187" s="6">
        <v>44745</v>
      </c>
      <c r="N187" s="5">
        <v>2021389</v>
      </c>
      <c r="O187" s="5">
        <v>1287600</v>
      </c>
      <c r="P187" s="5">
        <v>104630</v>
      </c>
      <c r="Q187" s="5">
        <f t="shared" si="19"/>
        <v>3413619</v>
      </c>
      <c r="R187" s="5">
        <v>53300</v>
      </c>
      <c r="S187" s="5">
        <f t="shared" si="49"/>
        <v>3466919</v>
      </c>
      <c r="U187" s="6">
        <v>45109</v>
      </c>
      <c r="V187" s="8">
        <v>962977</v>
      </c>
      <c r="W187" s="8">
        <v>512120</v>
      </c>
      <c r="X187" s="8">
        <v>195220</v>
      </c>
      <c r="Y187" s="26">
        <f t="shared" si="37"/>
        <v>1670317</v>
      </c>
      <c r="Z187" s="26"/>
      <c r="AA187" s="8">
        <v>0</v>
      </c>
      <c r="AB187" s="26">
        <f t="shared" si="38"/>
        <v>1670317</v>
      </c>
      <c r="AD187" s="6">
        <v>45474</v>
      </c>
      <c r="AE187" s="8">
        <v>14536678</v>
      </c>
      <c r="AF187" s="8">
        <v>2306060</v>
      </c>
      <c r="AG187" s="8">
        <v>334220</v>
      </c>
      <c r="AH187" s="5">
        <f t="shared" si="50"/>
        <v>17176958</v>
      </c>
      <c r="AI187" s="26">
        <v>3087140</v>
      </c>
      <c r="AJ187" s="8">
        <v>0</v>
      </c>
      <c r="AK187" s="5">
        <f t="shared" si="41"/>
        <v>20264098</v>
      </c>
      <c r="AM187" s="6">
        <v>45840</v>
      </c>
      <c r="AN187" s="8">
        <v>10432217</v>
      </c>
      <c r="AO187" s="8">
        <v>2499460</v>
      </c>
      <c r="AP187" s="8">
        <v>676010</v>
      </c>
      <c r="AQ187" s="5">
        <f t="shared" si="46"/>
        <v>13607687</v>
      </c>
      <c r="AR187" s="26">
        <v>8517710</v>
      </c>
      <c r="AS187" s="5">
        <v>30010</v>
      </c>
      <c r="AT187" s="8">
        <f t="shared" si="39"/>
        <v>8547720</v>
      </c>
      <c r="AU187" s="26"/>
      <c r="AV187" s="5">
        <f t="shared" si="47"/>
        <v>22155407</v>
      </c>
      <c r="AX187" s="6">
        <v>46206</v>
      </c>
      <c r="AY187" s="8">
        <v>3979130</v>
      </c>
      <c r="AZ187" s="8">
        <v>995700</v>
      </c>
      <c r="BA187" s="8">
        <v>329660</v>
      </c>
      <c r="BB187" s="20">
        <f t="shared" si="45"/>
        <v>5304490</v>
      </c>
      <c r="BC187" s="26">
        <v>299690</v>
      </c>
      <c r="BD187" s="5">
        <v>179500</v>
      </c>
      <c r="BE187" s="8">
        <f t="shared" si="42"/>
        <v>479190</v>
      </c>
      <c r="BF187" s="26">
        <v>49750</v>
      </c>
      <c r="BG187" s="5">
        <f t="shared" si="48"/>
        <v>5833430</v>
      </c>
    </row>
    <row r="188" spans="1:59">
      <c r="A188" s="12">
        <v>44018</v>
      </c>
      <c r="B188" s="8">
        <v>5711024</v>
      </c>
      <c r="C188" s="8">
        <v>4716550</v>
      </c>
      <c r="D188" s="11">
        <f t="shared" si="34"/>
        <v>10427574</v>
      </c>
      <c r="F188" s="13">
        <v>44382</v>
      </c>
      <c r="G188" s="5">
        <v>6925694</v>
      </c>
      <c r="H188" s="5">
        <v>1760890</v>
      </c>
      <c r="I188" s="8">
        <v>343200</v>
      </c>
      <c r="K188" s="7">
        <f t="shared" si="35"/>
        <v>9029784</v>
      </c>
      <c r="M188" s="6">
        <v>44746</v>
      </c>
      <c r="N188" s="5">
        <v>9024497</v>
      </c>
      <c r="O188" s="5">
        <v>3899050</v>
      </c>
      <c r="P188" s="5">
        <v>262590</v>
      </c>
      <c r="Q188" s="5">
        <f t="shared" si="19"/>
        <v>13186137</v>
      </c>
      <c r="R188" s="5">
        <v>109620</v>
      </c>
      <c r="S188" s="5">
        <f t="shared" si="49"/>
        <v>13295757</v>
      </c>
      <c r="U188" s="6">
        <v>45110</v>
      </c>
      <c r="V188" s="8">
        <v>13693836</v>
      </c>
      <c r="W188" s="8">
        <v>4479201</v>
      </c>
      <c r="X188" s="8">
        <v>310740</v>
      </c>
      <c r="Y188" s="26">
        <f t="shared" si="37"/>
        <v>18483777</v>
      </c>
      <c r="Z188" s="26"/>
      <c r="AA188" s="8">
        <v>0</v>
      </c>
      <c r="AB188" s="26">
        <f t="shared" si="38"/>
        <v>18483777</v>
      </c>
      <c r="AD188" s="6">
        <v>45475</v>
      </c>
      <c r="AE188" s="8">
        <v>15274774</v>
      </c>
      <c r="AF188" s="8">
        <v>3180360</v>
      </c>
      <c r="AG188" s="8">
        <v>275600</v>
      </c>
      <c r="AH188" s="5">
        <f t="shared" si="50"/>
        <v>18730734</v>
      </c>
      <c r="AI188" s="26">
        <v>2650460</v>
      </c>
      <c r="AJ188" s="8">
        <v>0</v>
      </c>
      <c r="AK188" s="5">
        <f t="shared" si="41"/>
        <v>21381194</v>
      </c>
      <c r="AM188" s="6">
        <v>45841</v>
      </c>
      <c r="AN188" s="8">
        <v>7772101</v>
      </c>
      <c r="AO188" s="8">
        <v>2170670</v>
      </c>
      <c r="AP188" s="8">
        <v>422350</v>
      </c>
      <c r="AQ188" s="5">
        <f t="shared" si="46"/>
        <v>10365121</v>
      </c>
      <c r="AR188" s="26">
        <v>2792020</v>
      </c>
      <c r="AS188" s="5">
        <v>0</v>
      </c>
      <c r="AT188" s="8">
        <f t="shared" si="39"/>
        <v>2792020</v>
      </c>
      <c r="AU188" s="26"/>
      <c r="AV188" s="5">
        <f t="shared" si="47"/>
        <v>13157141</v>
      </c>
      <c r="AX188" s="6">
        <v>46207</v>
      </c>
      <c r="AY188" s="8">
        <v>3336290</v>
      </c>
      <c r="AZ188" s="8">
        <v>1214670</v>
      </c>
      <c r="BA188" s="8">
        <v>299290</v>
      </c>
      <c r="BB188" s="20">
        <f t="shared" si="45"/>
        <v>4850250</v>
      </c>
      <c r="BC188" s="26">
        <v>513690</v>
      </c>
      <c r="BD188" s="5">
        <v>174700</v>
      </c>
      <c r="BE188" s="8">
        <f t="shared" si="42"/>
        <v>688390</v>
      </c>
      <c r="BF188" s="26">
        <v>107000</v>
      </c>
      <c r="BG188" s="5">
        <f t="shared" si="48"/>
        <v>5645640</v>
      </c>
    </row>
    <row r="189" spans="1:59">
      <c r="A189" s="12">
        <v>44019</v>
      </c>
      <c r="B189" s="8">
        <v>13001694</v>
      </c>
      <c r="C189" s="8">
        <v>3886660</v>
      </c>
      <c r="D189" s="11">
        <f t="shared" si="34"/>
        <v>16888354</v>
      </c>
      <c r="F189" s="13">
        <v>44383</v>
      </c>
      <c r="G189" s="5">
        <v>13340929</v>
      </c>
      <c r="H189" s="5">
        <v>3931730</v>
      </c>
      <c r="I189" s="8">
        <v>623630</v>
      </c>
      <c r="K189" s="7">
        <f t="shared" si="35"/>
        <v>17896289</v>
      </c>
      <c r="M189" s="6">
        <v>44747</v>
      </c>
      <c r="N189" s="5">
        <v>8912043</v>
      </c>
      <c r="O189" s="5">
        <v>4298900</v>
      </c>
      <c r="P189" s="5">
        <v>417230</v>
      </c>
      <c r="Q189" s="5">
        <f t="shared" si="19"/>
        <v>13628173</v>
      </c>
      <c r="R189" s="5">
        <v>87100</v>
      </c>
      <c r="S189" s="5">
        <f t="shared" si="49"/>
        <v>13715273</v>
      </c>
      <c r="U189" s="6">
        <v>45111</v>
      </c>
      <c r="V189" s="8">
        <v>11048752</v>
      </c>
      <c r="W189" s="8">
        <v>4342610</v>
      </c>
      <c r="X189" s="8">
        <v>336570</v>
      </c>
      <c r="Y189" s="26">
        <f t="shared" si="37"/>
        <v>15727932</v>
      </c>
      <c r="Z189" s="26"/>
      <c r="AA189" s="8">
        <v>43210</v>
      </c>
      <c r="AB189" s="26">
        <f t="shared" si="38"/>
        <v>15771142</v>
      </c>
      <c r="AD189" s="6">
        <v>45476</v>
      </c>
      <c r="AE189" s="8">
        <v>13872166</v>
      </c>
      <c r="AF189" s="8">
        <v>2448990</v>
      </c>
      <c r="AG189" s="8">
        <v>264660</v>
      </c>
      <c r="AH189" s="5">
        <f t="shared" si="50"/>
        <v>16585816</v>
      </c>
      <c r="AI189" s="26">
        <v>1386170</v>
      </c>
      <c r="AJ189" s="8">
        <v>0</v>
      </c>
      <c r="AK189" s="5">
        <f t="shared" si="41"/>
        <v>17971986</v>
      </c>
      <c r="AM189" s="6">
        <v>45842</v>
      </c>
      <c r="AN189" s="8">
        <v>6565877</v>
      </c>
      <c r="AO189" s="8">
        <v>1864070</v>
      </c>
      <c r="AP189" s="8">
        <v>304500</v>
      </c>
      <c r="AQ189" s="5">
        <f t="shared" si="46"/>
        <v>8734447</v>
      </c>
      <c r="AR189" s="26">
        <v>866360</v>
      </c>
      <c r="AS189" s="5">
        <v>105750</v>
      </c>
      <c r="AT189" s="8">
        <f t="shared" si="39"/>
        <v>972110</v>
      </c>
      <c r="AU189" s="26"/>
      <c r="AV189" s="5">
        <f t="shared" si="47"/>
        <v>9706557</v>
      </c>
      <c r="AX189" s="6">
        <v>46208</v>
      </c>
      <c r="AY189" s="8">
        <v>215960</v>
      </c>
      <c r="AZ189" s="8">
        <v>273900</v>
      </c>
      <c r="BA189" s="8">
        <v>206180</v>
      </c>
      <c r="BB189" s="20">
        <f t="shared" si="45"/>
        <v>696040</v>
      </c>
      <c r="BC189" s="26">
        <v>798170</v>
      </c>
      <c r="BD189" s="5">
        <v>190500</v>
      </c>
      <c r="BE189" s="8">
        <f t="shared" si="42"/>
        <v>988670</v>
      </c>
      <c r="BF189" s="26">
        <v>132280</v>
      </c>
      <c r="BG189" s="5">
        <f t="shared" si="48"/>
        <v>1816990</v>
      </c>
    </row>
    <row r="190" spans="1:59">
      <c r="A190" s="12">
        <v>44020</v>
      </c>
      <c r="B190" s="8">
        <v>10008690</v>
      </c>
      <c r="C190" s="8">
        <v>4365889</v>
      </c>
      <c r="D190" s="11">
        <f t="shared" si="34"/>
        <v>14374579</v>
      </c>
      <c r="F190" s="13">
        <v>44384</v>
      </c>
      <c r="G190" s="5">
        <v>12093831</v>
      </c>
      <c r="H190" s="5">
        <v>2770610</v>
      </c>
      <c r="I190" s="8">
        <v>365370</v>
      </c>
      <c r="K190" s="7">
        <f t="shared" si="35"/>
        <v>15229811</v>
      </c>
      <c r="M190" s="6">
        <v>44748</v>
      </c>
      <c r="N190" s="5">
        <v>9650225</v>
      </c>
      <c r="O190" s="5">
        <v>3153580</v>
      </c>
      <c r="P190" s="5">
        <v>279930</v>
      </c>
      <c r="Q190" s="5">
        <f t="shared" si="19"/>
        <v>13083735</v>
      </c>
      <c r="R190" s="5">
        <v>72000</v>
      </c>
      <c r="S190" s="5">
        <f t="shared" si="49"/>
        <v>13155735</v>
      </c>
      <c r="U190" s="6">
        <v>45112</v>
      </c>
      <c r="V190" s="8">
        <v>10047245</v>
      </c>
      <c r="W190" s="8">
        <v>3331210</v>
      </c>
      <c r="X190" s="8">
        <v>297200</v>
      </c>
      <c r="Y190" s="26">
        <f t="shared" si="37"/>
        <v>13675655</v>
      </c>
      <c r="Z190" s="26"/>
      <c r="AA190" s="8">
        <v>28310</v>
      </c>
      <c r="AB190" s="26">
        <f t="shared" si="38"/>
        <v>13703965</v>
      </c>
      <c r="AD190" s="6">
        <v>45477</v>
      </c>
      <c r="AE190" s="8">
        <v>10439455</v>
      </c>
      <c r="AF190" s="8">
        <v>2425990</v>
      </c>
      <c r="AG190" s="8">
        <v>306700</v>
      </c>
      <c r="AH190" s="5">
        <f t="shared" si="50"/>
        <v>13172145</v>
      </c>
      <c r="AI190" s="26">
        <v>1320360</v>
      </c>
      <c r="AJ190" s="8">
        <v>0</v>
      </c>
      <c r="AK190" s="5">
        <f t="shared" si="41"/>
        <v>14492505</v>
      </c>
      <c r="AM190" s="6">
        <v>45843</v>
      </c>
      <c r="AN190" s="8">
        <v>1798254</v>
      </c>
      <c r="AO190" s="8">
        <v>180040</v>
      </c>
      <c r="AP190" s="8">
        <v>393140</v>
      </c>
      <c r="AQ190" s="5">
        <f t="shared" si="46"/>
        <v>2371434</v>
      </c>
      <c r="AR190" s="26">
        <v>876180</v>
      </c>
      <c r="AS190" s="5">
        <v>62430</v>
      </c>
      <c r="AT190" s="8">
        <f t="shared" si="39"/>
        <v>938610</v>
      </c>
      <c r="AU190" s="26"/>
      <c r="AV190" s="5">
        <f t="shared" si="47"/>
        <v>3310044</v>
      </c>
      <c r="AX190" s="6">
        <v>46209</v>
      </c>
      <c r="AY190" s="8">
        <v>17633400</v>
      </c>
      <c r="AZ190" s="8">
        <v>761300</v>
      </c>
      <c r="BA190" s="8">
        <v>355540</v>
      </c>
      <c r="BB190" s="20">
        <f t="shared" si="45"/>
        <v>18750240</v>
      </c>
      <c r="BC190" s="26">
        <v>1221060</v>
      </c>
      <c r="BD190" s="5">
        <v>276700</v>
      </c>
      <c r="BE190" s="8">
        <f t="shared" si="42"/>
        <v>1497760</v>
      </c>
      <c r="BF190" s="26">
        <v>7771065</v>
      </c>
      <c r="BG190" s="5">
        <f t="shared" si="48"/>
        <v>28019065</v>
      </c>
    </row>
    <row r="191" spans="1:59">
      <c r="A191" s="12">
        <v>44021</v>
      </c>
      <c r="B191" s="8">
        <v>11280302</v>
      </c>
      <c r="C191" s="8">
        <v>4325600</v>
      </c>
      <c r="D191" s="11">
        <f t="shared" si="34"/>
        <v>15605902</v>
      </c>
      <c r="F191" s="13">
        <v>44385</v>
      </c>
      <c r="G191" s="5">
        <v>11236320</v>
      </c>
      <c r="H191" s="5">
        <v>2870890</v>
      </c>
      <c r="I191" s="8">
        <v>494510</v>
      </c>
      <c r="K191" s="7">
        <f t="shared" si="35"/>
        <v>14601720</v>
      </c>
      <c r="M191" s="6">
        <v>44749</v>
      </c>
      <c r="N191" s="5">
        <v>8356749</v>
      </c>
      <c r="O191" s="5">
        <v>4056190</v>
      </c>
      <c r="P191" s="5">
        <v>250060</v>
      </c>
      <c r="Q191" s="5">
        <f t="shared" si="19"/>
        <v>12662999</v>
      </c>
      <c r="R191" s="5">
        <v>122070</v>
      </c>
      <c r="S191" s="5">
        <f t="shared" si="49"/>
        <v>12785069</v>
      </c>
      <c r="U191" s="6">
        <v>45113</v>
      </c>
      <c r="V191" s="8">
        <v>13109637</v>
      </c>
      <c r="W191" s="8">
        <v>4595843</v>
      </c>
      <c r="X191" s="8">
        <v>318780</v>
      </c>
      <c r="Y191" s="26">
        <f t="shared" si="37"/>
        <v>18024260</v>
      </c>
      <c r="Z191" s="26"/>
      <c r="AA191" s="8">
        <v>0</v>
      </c>
      <c r="AB191" s="26">
        <f t="shared" si="38"/>
        <v>18024260</v>
      </c>
      <c r="AD191" s="6">
        <v>45478</v>
      </c>
      <c r="AE191" s="8">
        <v>11324913</v>
      </c>
      <c r="AF191" s="8">
        <v>2234420</v>
      </c>
      <c r="AG191" s="8">
        <v>304880</v>
      </c>
      <c r="AH191" s="5">
        <f t="shared" si="50"/>
        <v>13864213</v>
      </c>
      <c r="AI191" s="26">
        <v>781100</v>
      </c>
      <c r="AJ191" s="8">
        <v>0</v>
      </c>
      <c r="AK191" s="5">
        <f t="shared" si="41"/>
        <v>14645313</v>
      </c>
      <c r="AM191" s="6">
        <v>45844</v>
      </c>
      <c r="AN191" s="8">
        <v>1391767</v>
      </c>
      <c r="AO191" s="8">
        <v>529880</v>
      </c>
      <c r="AP191" s="8">
        <v>288070</v>
      </c>
      <c r="AQ191" s="5">
        <f t="shared" si="46"/>
        <v>2209717</v>
      </c>
      <c r="AR191" s="26">
        <v>1268820</v>
      </c>
      <c r="AS191" s="5">
        <v>62810</v>
      </c>
      <c r="AT191" s="8">
        <f t="shared" si="39"/>
        <v>1331630</v>
      </c>
      <c r="AU191" s="26"/>
      <c r="AV191" s="5">
        <f t="shared" si="47"/>
        <v>3541347</v>
      </c>
      <c r="AX191" s="6">
        <v>46210</v>
      </c>
      <c r="AY191" s="8">
        <v>17992819</v>
      </c>
      <c r="AZ191" s="8">
        <v>645100</v>
      </c>
      <c r="BA191" s="8">
        <v>246780</v>
      </c>
      <c r="BB191" s="20">
        <f t="shared" si="45"/>
        <v>18884699</v>
      </c>
      <c r="BC191" s="26">
        <v>458250</v>
      </c>
      <c r="BD191" s="5">
        <v>133300</v>
      </c>
      <c r="BE191" s="8">
        <f t="shared" si="42"/>
        <v>591550</v>
      </c>
      <c r="BF191" s="26">
        <v>2039600</v>
      </c>
      <c r="BG191" s="5">
        <f t="shared" si="48"/>
        <v>21515849</v>
      </c>
    </row>
    <row r="192" spans="1:59">
      <c r="A192" s="12">
        <v>44022</v>
      </c>
      <c r="B192" s="8">
        <v>21807597</v>
      </c>
      <c r="C192" s="8">
        <v>15101840</v>
      </c>
      <c r="D192" s="11">
        <f t="shared" si="34"/>
        <v>36909437</v>
      </c>
      <c r="F192" s="13">
        <v>44386</v>
      </c>
      <c r="G192" s="5">
        <v>7749973</v>
      </c>
      <c r="H192" s="5">
        <v>2623100</v>
      </c>
      <c r="I192" s="8">
        <v>201020</v>
      </c>
      <c r="K192" s="7">
        <f t="shared" si="35"/>
        <v>10574093</v>
      </c>
      <c r="M192" s="6">
        <v>44750</v>
      </c>
      <c r="N192" s="5">
        <v>4618822</v>
      </c>
      <c r="O192" s="5">
        <v>1973410</v>
      </c>
      <c r="P192" s="5">
        <v>291750</v>
      </c>
      <c r="Q192" s="5">
        <f t="shared" si="19"/>
        <v>6883982</v>
      </c>
      <c r="R192" s="5">
        <v>198720</v>
      </c>
      <c r="S192" s="5">
        <f t="shared" si="49"/>
        <v>7082702</v>
      </c>
      <c r="U192" s="6">
        <v>45114</v>
      </c>
      <c r="V192" s="8">
        <v>12901415</v>
      </c>
      <c r="W192" s="8">
        <v>4174970</v>
      </c>
      <c r="X192" s="8">
        <v>111680</v>
      </c>
      <c r="Y192" s="26">
        <f t="shared" si="37"/>
        <v>17188065</v>
      </c>
      <c r="Z192" s="26"/>
      <c r="AA192" s="8">
        <v>28310</v>
      </c>
      <c r="AB192" s="26">
        <f t="shared" si="38"/>
        <v>17216375</v>
      </c>
      <c r="AD192" s="6">
        <v>45479</v>
      </c>
      <c r="AE192" s="8">
        <v>4025305</v>
      </c>
      <c r="AF192" s="8">
        <v>739570</v>
      </c>
      <c r="AG192" s="8">
        <v>127600</v>
      </c>
      <c r="AH192" s="5">
        <f t="shared" si="50"/>
        <v>4892475</v>
      </c>
      <c r="AI192" s="26">
        <v>745140</v>
      </c>
      <c r="AJ192" s="8">
        <v>0</v>
      </c>
      <c r="AK192" s="5">
        <f t="shared" si="41"/>
        <v>5637615</v>
      </c>
      <c r="AM192" s="6">
        <v>45845</v>
      </c>
      <c r="AN192" s="8">
        <v>16793432</v>
      </c>
      <c r="AO192" s="8">
        <v>138890</v>
      </c>
      <c r="AP192" s="8">
        <v>569630</v>
      </c>
      <c r="AQ192" s="5">
        <f t="shared" si="46"/>
        <v>17501952</v>
      </c>
      <c r="AR192" s="26">
        <v>1252490</v>
      </c>
      <c r="AS192" s="5">
        <v>33710</v>
      </c>
      <c r="AT192" s="8">
        <f t="shared" si="39"/>
        <v>1286200</v>
      </c>
      <c r="AU192" s="26"/>
      <c r="AV192" s="5">
        <f t="shared" si="47"/>
        <v>18788152</v>
      </c>
      <c r="AX192" s="6">
        <v>46211</v>
      </c>
      <c r="AY192" s="8">
        <v>18256640</v>
      </c>
      <c r="AZ192" s="8">
        <v>836280</v>
      </c>
      <c r="BA192" s="8">
        <v>313480</v>
      </c>
      <c r="BB192" s="20">
        <f t="shared" si="45"/>
        <v>19406400</v>
      </c>
      <c r="BC192" s="26">
        <v>628710</v>
      </c>
      <c r="BD192" s="5">
        <v>198660</v>
      </c>
      <c r="BE192" s="8">
        <f t="shared" si="42"/>
        <v>827370</v>
      </c>
      <c r="BF192" s="26">
        <v>997340</v>
      </c>
      <c r="BG192" s="5">
        <f t="shared" si="48"/>
        <v>21231110</v>
      </c>
    </row>
    <row r="193" spans="1:59">
      <c r="A193" s="12">
        <v>44023</v>
      </c>
      <c r="D193" s="11">
        <f t="shared" si="34"/>
        <v>0</v>
      </c>
      <c r="F193" s="13">
        <v>44387</v>
      </c>
      <c r="G193" s="5">
        <v>5842161</v>
      </c>
      <c r="H193" s="5">
        <v>1902160</v>
      </c>
      <c r="I193" s="8">
        <v>216920</v>
      </c>
      <c r="K193" s="7">
        <f t="shared" si="35"/>
        <v>7961241</v>
      </c>
      <c r="M193" s="6">
        <v>44751</v>
      </c>
      <c r="N193" s="5">
        <v>2610215</v>
      </c>
      <c r="O193" s="5">
        <v>1089510</v>
      </c>
      <c r="P193" s="5">
        <v>125130</v>
      </c>
      <c r="Q193" s="5">
        <f t="shared" si="19"/>
        <v>3824855</v>
      </c>
      <c r="R193" s="5">
        <v>35400</v>
      </c>
      <c r="S193" s="5">
        <f t="shared" si="49"/>
        <v>3860255</v>
      </c>
      <c r="U193" s="6">
        <v>45115</v>
      </c>
      <c r="V193" s="8">
        <v>370642</v>
      </c>
      <c r="W193" s="8">
        <v>324410</v>
      </c>
      <c r="X193" s="8">
        <v>284360</v>
      </c>
      <c r="Y193" s="26">
        <f t="shared" si="37"/>
        <v>979412</v>
      </c>
      <c r="Z193" s="26"/>
      <c r="AA193" s="8">
        <v>14900</v>
      </c>
      <c r="AB193" s="26">
        <f t="shared" si="38"/>
        <v>994312</v>
      </c>
      <c r="AD193" s="6">
        <v>45480</v>
      </c>
      <c r="AE193" s="8">
        <v>863381</v>
      </c>
      <c r="AF193" s="8">
        <v>442290</v>
      </c>
      <c r="AG193" s="8">
        <v>113410</v>
      </c>
      <c r="AH193" s="5">
        <f t="shared" si="50"/>
        <v>1419081</v>
      </c>
      <c r="AI193" s="26">
        <v>930120</v>
      </c>
      <c r="AJ193" s="8">
        <v>0</v>
      </c>
      <c r="AK193" s="5">
        <f t="shared" si="41"/>
        <v>2349201</v>
      </c>
      <c r="AM193" s="6">
        <v>45846</v>
      </c>
      <c r="AN193" s="8">
        <v>19506227</v>
      </c>
      <c r="AO193" s="8">
        <v>404490</v>
      </c>
      <c r="AP193" s="8">
        <v>336600</v>
      </c>
      <c r="AQ193" s="5">
        <f t="shared" si="46"/>
        <v>20247317</v>
      </c>
      <c r="AR193" s="26">
        <v>1092270</v>
      </c>
      <c r="AS193" s="5">
        <v>29100</v>
      </c>
      <c r="AT193" s="8">
        <f t="shared" si="39"/>
        <v>1121370</v>
      </c>
      <c r="AU193" s="26"/>
      <c r="AV193" s="5">
        <f t="shared" si="47"/>
        <v>21368687</v>
      </c>
      <c r="AX193" s="6">
        <v>46212</v>
      </c>
      <c r="AY193" s="8">
        <v>14981906</v>
      </c>
      <c r="AZ193" s="8">
        <v>668180</v>
      </c>
      <c r="BA193" s="8">
        <v>248880</v>
      </c>
      <c r="BB193" s="20">
        <f t="shared" si="45"/>
        <v>15898966</v>
      </c>
      <c r="BC193" s="26">
        <v>1319210</v>
      </c>
      <c r="BD193" s="5">
        <v>119090</v>
      </c>
      <c r="BE193" s="8">
        <f t="shared" si="42"/>
        <v>1438300</v>
      </c>
      <c r="BF193" s="26">
        <v>210260</v>
      </c>
      <c r="BG193" s="5">
        <f t="shared" si="48"/>
        <v>17547526</v>
      </c>
    </row>
    <row r="194" spans="1:59">
      <c r="A194" s="12">
        <v>44024</v>
      </c>
      <c r="D194" s="11">
        <f t="shared" si="34"/>
        <v>0</v>
      </c>
      <c r="F194" s="13">
        <v>44388</v>
      </c>
      <c r="G194" s="5">
        <v>6368756</v>
      </c>
      <c r="H194" s="5">
        <v>2073717</v>
      </c>
      <c r="I194" s="8">
        <v>288120</v>
      </c>
      <c r="K194" s="7">
        <f t="shared" si="35"/>
        <v>8730593</v>
      </c>
      <c r="M194" s="6">
        <v>44752</v>
      </c>
      <c r="N194" s="5">
        <v>1396223</v>
      </c>
      <c r="O194" s="5">
        <v>948520</v>
      </c>
      <c r="P194" s="5">
        <v>267610</v>
      </c>
      <c r="Q194" s="5">
        <f t="shared" si="19"/>
        <v>2612353</v>
      </c>
      <c r="R194" s="5">
        <v>106965</v>
      </c>
      <c r="S194" s="5">
        <f t="shared" si="49"/>
        <v>2719318</v>
      </c>
      <c r="U194" s="6">
        <v>45116</v>
      </c>
      <c r="V194" s="8">
        <v>819538</v>
      </c>
      <c r="W194" s="8">
        <v>415970</v>
      </c>
      <c r="X194" s="8">
        <v>165400</v>
      </c>
      <c r="Y194" s="26">
        <f t="shared" si="37"/>
        <v>1400908</v>
      </c>
      <c r="Z194" s="26">
        <v>9791182</v>
      </c>
      <c r="AA194" s="8">
        <v>14900</v>
      </c>
      <c r="AB194" s="26">
        <f>Y194+Z194+AA194</f>
        <v>11206990</v>
      </c>
      <c r="AD194" s="6">
        <v>45481</v>
      </c>
      <c r="AE194" s="8">
        <v>12582659</v>
      </c>
      <c r="AF194" s="8">
        <v>4038512</v>
      </c>
      <c r="AG194" s="8">
        <v>585620</v>
      </c>
      <c r="AH194" s="5">
        <f t="shared" si="50"/>
        <v>17206791</v>
      </c>
      <c r="AI194" s="26">
        <v>1436700</v>
      </c>
      <c r="AJ194" s="8">
        <v>0</v>
      </c>
      <c r="AK194" s="5">
        <f t="shared" si="41"/>
        <v>18643491</v>
      </c>
      <c r="AM194" s="6">
        <v>45847</v>
      </c>
      <c r="AN194" s="8">
        <v>17235164</v>
      </c>
      <c r="AO194" s="8">
        <v>716820</v>
      </c>
      <c r="AP194" s="8">
        <v>529820</v>
      </c>
      <c r="AQ194" s="5">
        <f t="shared" si="46"/>
        <v>18481804</v>
      </c>
      <c r="AR194" s="26">
        <v>1280440</v>
      </c>
      <c r="AS194" s="5">
        <v>0</v>
      </c>
      <c r="AT194" s="8">
        <f t="shared" si="39"/>
        <v>1280440</v>
      </c>
      <c r="AU194" s="26"/>
      <c r="AV194" s="5">
        <f t="shared" si="47"/>
        <v>19762244</v>
      </c>
      <c r="AX194" s="6">
        <v>46213</v>
      </c>
      <c r="AY194" s="8">
        <v>11658800</v>
      </c>
      <c r="AZ194" s="8">
        <v>573580</v>
      </c>
      <c r="BA194" s="8">
        <v>221320</v>
      </c>
      <c r="BB194" s="20">
        <f t="shared" si="45"/>
        <v>12453700</v>
      </c>
      <c r="BC194" s="26">
        <v>853500</v>
      </c>
      <c r="BD194" s="5">
        <v>75100</v>
      </c>
      <c r="BE194" s="8">
        <f t="shared" si="42"/>
        <v>928600</v>
      </c>
      <c r="BF194" s="26">
        <v>78500</v>
      </c>
      <c r="BG194" s="5">
        <f t="shared" si="48"/>
        <v>13460800</v>
      </c>
    </row>
    <row r="195" spans="1:59">
      <c r="A195" s="12">
        <v>44025</v>
      </c>
      <c r="D195" s="11">
        <f t="shared" si="34"/>
        <v>0</v>
      </c>
      <c r="F195" s="13">
        <v>44389</v>
      </c>
      <c r="G195" s="5">
        <v>13528979</v>
      </c>
      <c r="H195" s="5">
        <v>5437410</v>
      </c>
      <c r="I195" s="8">
        <v>468600</v>
      </c>
      <c r="K195" s="7">
        <f t="shared" si="35"/>
        <v>19434989</v>
      </c>
      <c r="M195" s="6">
        <v>44753</v>
      </c>
      <c r="N195" s="5">
        <v>5617010</v>
      </c>
      <c r="O195" s="5">
        <v>1727050</v>
      </c>
      <c r="P195" s="5">
        <v>734180</v>
      </c>
      <c r="Q195" s="5">
        <f t="shared" si="19"/>
        <v>8078240</v>
      </c>
      <c r="R195" s="5">
        <v>86160</v>
      </c>
      <c r="S195" s="5">
        <f t="shared" si="49"/>
        <v>8164400</v>
      </c>
      <c r="U195" s="6">
        <v>45117</v>
      </c>
      <c r="V195" s="8">
        <v>11231174</v>
      </c>
      <c r="W195" s="8">
        <v>2952630</v>
      </c>
      <c r="X195" s="8">
        <v>567990</v>
      </c>
      <c r="Y195" s="26">
        <f t="shared" si="37"/>
        <v>14751794</v>
      </c>
      <c r="Z195" s="26">
        <v>1018160</v>
      </c>
      <c r="AA195" s="8">
        <v>0</v>
      </c>
      <c r="AB195" s="26">
        <f t="shared" ref="AB195:AB258" si="51">Y195+Z195+AA195</f>
        <v>15769954</v>
      </c>
      <c r="AD195" s="6">
        <v>45482</v>
      </c>
      <c r="AE195" s="8">
        <v>9917614</v>
      </c>
      <c r="AF195" s="8">
        <v>2344480</v>
      </c>
      <c r="AG195" s="8">
        <v>469920</v>
      </c>
      <c r="AH195" s="5">
        <f t="shared" si="50"/>
        <v>12732014</v>
      </c>
      <c r="AI195" s="26">
        <v>1780900</v>
      </c>
      <c r="AJ195" s="8">
        <v>16500</v>
      </c>
      <c r="AK195" s="5">
        <f t="shared" si="41"/>
        <v>14529414</v>
      </c>
      <c r="AM195" s="6">
        <v>45848</v>
      </c>
      <c r="AN195" s="8">
        <v>17330488</v>
      </c>
      <c r="AO195" s="8">
        <v>608060</v>
      </c>
      <c r="AP195" s="8">
        <v>157920</v>
      </c>
      <c r="AQ195" s="5">
        <f t="shared" si="46"/>
        <v>18096468</v>
      </c>
      <c r="AR195" s="26">
        <v>1668661</v>
      </c>
      <c r="AS195" s="5">
        <v>31700</v>
      </c>
      <c r="AT195" s="8">
        <f t="shared" si="39"/>
        <v>1700361</v>
      </c>
      <c r="AU195" s="26"/>
      <c r="AV195" s="5">
        <f t="shared" si="47"/>
        <v>19796829</v>
      </c>
      <c r="AX195" s="6">
        <v>46214</v>
      </c>
      <c r="AY195" s="8">
        <v>4631400</v>
      </c>
      <c r="AZ195" s="8">
        <v>334840</v>
      </c>
      <c r="BA195" s="8">
        <v>64700</v>
      </c>
      <c r="BB195" s="20">
        <f t="shared" si="45"/>
        <v>5030940</v>
      </c>
      <c r="BC195" s="26">
        <v>470220</v>
      </c>
      <c r="BD195" s="5">
        <v>204700</v>
      </c>
      <c r="BE195" s="8">
        <f t="shared" si="42"/>
        <v>674920</v>
      </c>
      <c r="BF195" s="26">
        <v>115990</v>
      </c>
      <c r="BG195" s="5">
        <f t="shared" si="48"/>
        <v>5821850</v>
      </c>
    </row>
    <row r="196" spans="1:59">
      <c r="A196" s="12">
        <v>44026</v>
      </c>
      <c r="B196" s="8">
        <v>8834345</v>
      </c>
      <c r="C196" s="8">
        <v>5430520</v>
      </c>
      <c r="D196" s="11">
        <f t="shared" ref="D196:D259" si="52">SUM(B196:C196)</f>
        <v>14264865</v>
      </c>
      <c r="F196" s="13">
        <v>44390</v>
      </c>
      <c r="G196" s="5">
        <v>6714897</v>
      </c>
      <c r="H196" s="5">
        <v>1559560</v>
      </c>
      <c r="I196" s="8">
        <v>441600</v>
      </c>
      <c r="K196" s="7">
        <f t="shared" ref="K196:K245" si="53">SUM(G196:I196)</f>
        <v>8716057</v>
      </c>
      <c r="M196" s="6">
        <v>44754</v>
      </c>
      <c r="N196" s="5">
        <v>7744017</v>
      </c>
      <c r="O196" s="5">
        <v>3648885</v>
      </c>
      <c r="P196" s="5">
        <v>791720</v>
      </c>
      <c r="Q196" s="5">
        <f t="shared" si="19"/>
        <v>12184622</v>
      </c>
      <c r="R196" s="5">
        <v>196170</v>
      </c>
      <c r="S196" s="5">
        <f t="shared" si="49"/>
        <v>12380792</v>
      </c>
      <c r="U196" s="6">
        <v>45118</v>
      </c>
      <c r="V196" s="8">
        <v>11920388</v>
      </c>
      <c r="W196" s="8">
        <v>3326750</v>
      </c>
      <c r="X196" s="8">
        <v>306960</v>
      </c>
      <c r="Y196" s="26">
        <f t="shared" si="37"/>
        <v>15554098</v>
      </c>
      <c r="Z196" s="26">
        <v>744980</v>
      </c>
      <c r="AA196" s="8">
        <v>14900</v>
      </c>
      <c r="AB196" s="26">
        <f t="shared" si="51"/>
        <v>16313978</v>
      </c>
      <c r="AD196" s="6">
        <v>45483</v>
      </c>
      <c r="AE196" s="8">
        <v>9800357</v>
      </c>
      <c r="AF196" s="8">
        <v>2653990</v>
      </c>
      <c r="AG196" s="8">
        <v>272700</v>
      </c>
      <c r="AH196" s="5">
        <f t="shared" si="50"/>
        <v>12727047</v>
      </c>
      <c r="AI196" s="26">
        <v>1509180</v>
      </c>
      <c r="AJ196" s="8">
        <v>0</v>
      </c>
      <c r="AK196" s="5">
        <f t="shared" si="41"/>
        <v>14236227</v>
      </c>
      <c r="AM196" s="6">
        <v>45849</v>
      </c>
      <c r="AN196" s="8">
        <v>16571761</v>
      </c>
      <c r="AO196" s="8">
        <v>1209990</v>
      </c>
      <c r="AP196" s="8">
        <v>322090</v>
      </c>
      <c r="AQ196" s="5">
        <f t="shared" si="46"/>
        <v>18103841</v>
      </c>
      <c r="AR196" s="26">
        <v>1250190</v>
      </c>
      <c r="AS196" s="5">
        <v>0</v>
      </c>
      <c r="AT196" s="8">
        <f t="shared" si="39"/>
        <v>1250190</v>
      </c>
      <c r="AU196" s="26"/>
      <c r="AV196" s="5">
        <f t="shared" si="47"/>
        <v>19354031</v>
      </c>
      <c r="AX196" s="6">
        <v>46215</v>
      </c>
      <c r="AY196" s="8">
        <v>6006949</v>
      </c>
      <c r="AZ196" s="8">
        <v>320500</v>
      </c>
      <c r="BA196" s="8">
        <v>211020</v>
      </c>
      <c r="BB196" s="20">
        <f t="shared" si="45"/>
        <v>6538469</v>
      </c>
      <c r="BC196" s="26">
        <v>267480</v>
      </c>
      <c r="BD196" s="5">
        <v>180600</v>
      </c>
      <c r="BE196" s="8">
        <f t="shared" si="42"/>
        <v>448080</v>
      </c>
      <c r="BF196" s="26">
        <v>137500</v>
      </c>
      <c r="BG196" s="5">
        <f t="shared" si="48"/>
        <v>7124049</v>
      </c>
    </row>
    <row r="197" spans="1:59">
      <c r="A197" s="12">
        <v>44027</v>
      </c>
      <c r="B197" s="8">
        <v>14046018</v>
      </c>
      <c r="C197" s="8">
        <v>5929800</v>
      </c>
      <c r="D197" s="11">
        <f t="shared" si="52"/>
        <v>19975818</v>
      </c>
      <c r="F197" s="13">
        <v>44391</v>
      </c>
      <c r="G197" s="5">
        <v>7503681</v>
      </c>
      <c r="H197" s="5">
        <v>1964901</v>
      </c>
      <c r="I197" s="8">
        <v>533260</v>
      </c>
      <c r="K197" s="7">
        <f t="shared" si="53"/>
        <v>10001842</v>
      </c>
      <c r="M197" s="6">
        <v>44755</v>
      </c>
      <c r="N197" s="5">
        <v>8027618</v>
      </c>
      <c r="O197" s="5">
        <v>3118660</v>
      </c>
      <c r="P197" s="5">
        <v>978960</v>
      </c>
      <c r="Q197" s="5">
        <f t="shared" si="19"/>
        <v>12125238</v>
      </c>
      <c r="R197" s="5">
        <v>134355</v>
      </c>
      <c r="S197" s="5">
        <f t="shared" si="49"/>
        <v>12259593</v>
      </c>
      <c r="U197" s="6">
        <v>45119</v>
      </c>
      <c r="V197" s="8">
        <v>14558382</v>
      </c>
      <c r="W197" s="8">
        <v>3843810</v>
      </c>
      <c r="X197" s="8">
        <v>623660</v>
      </c>
      <c r="Y197" s="26">
        <f t="shared" ref="Y197:Y260" si="54">SUM(V197:X197)</f>
        <v>19025852</v>
      </c>
      <c r="Z197" s="26">
        <v>973000</v>
      </c>
      <c r="AA197" s="8">
        <v>14900</v>
      </c>
      <c r="AB197" s="26">
        <f t="shared" si="51"/>
        <v>20013752</v>
      </c>
      <c r="AD197" s="6">
        <v>45484</v>
      </c>
      <c r="AE197" s="8">
        <v>9998518</v>
      </c>
      <c r="AF197" s="8">
        <v>2112340</v>
      </c>
      <c r="AG197" s="8">
        <v>166540</v>
      </c>
      <c r="AH197" s="5">
        <f t="shared" si="50"/>
        <v>12277398</v>
      </c>
      <c r="AI197" s="26">
        <v>1500680</v>
      </c>
      <c r="AJ197" s="8">
        <v>0</v>
      </c>
      <c r="AK197" s="5">
        <f t="shared" si="41"/>
        <v>13778078</v>
      </c>
      <c r="AM197" s="6">
        <v>45850</v>
      </c>
      <c r="AN197" s="8">
        <v>979908</v>
      </c>
      <c r="AO197" s="8">
        <v>81200</v>
      </c>
      <c r="AP197" s="8">
        <v>76920</v>
      </c>
      <c r="AQ197" s="5">
        <f t="shared" si="46"/>
        <v>1138028</v>
      </c>
      <c r="AR197" s="26">
        <v>402350</v>
      </c>
      <c r="AS197" s="5">
        <v>31700</v>
      </c>
      <c r="AT197" s="8">
        <f t="shared" ref="AT197:AT260" si="55">AR197+AS197</f>
        <v>434050</v>
      </c>
      <c r="AU197" s="26"/>
      <c r="AV197" s="5">
        <f t="shared" si="47"/>
        <v>1572078</v>
      </c>
      <c r="AX197" s="6">
        <v>46216</v>
      </c>
      <c r="AY197" s="8">
        <v>9009190</v>
      </c>
      <c r="AZ197" s="8">
        <v>926780</v>
      </c>
      <c r="BA197" s="8">
        <v>354680</v>
      </c>
      <c r="BB197" s="20">
        <f t="shared" si="45"/>
        <v>10290650</v>
      </c>
      <c r="BC197" s="26">
        <v>8029490</v>
      </c>
      <c r="BD197" s="5">
        <v>137900</v>
      </c>
      <c r="BE197" s="8">
        <f t="shared" si="42"/>
        <v>8167390</v>
      </c>
      <c r="BF197" s="26">
        <v>100000</v>
      </c>
      <c r="BG197" s="5">
        <f t="shared" si="48"/>
        <v>18558040</v>
      </c>
    </row>
    <row r="198" spans="1:59">
      <c r="A198" s="12">
        <v>44028</v>
      </c>
      <c r="B198" s="8">
        <v>11808176</v>
      </c>
      <c r="C198" s="8">
        <v>5118380</v>
      </c>
      <c r="D198" s="11">
        <f t="shared" si="52"/>
        <v>16926556</v>
      </c>
      <c r="F198" s="13">
        <v>44392</v>
      </c>
      <c r="G198" s="5">
        <v>7966461</v>
      </c>
      <c r="H198" s="5">
        <v>1924840</v>
      </c>
      <c r="I198" s="8">
        <v>742340</v>
      </c>
      <c r="K198" s="7">
        <f t="shared" si="53"/>
        <v>10633641</v>
      </c>
      <c r="M198" s="6">
        <v>44756</v>
      </c>
      <c r="N198" s="5">
        <v>8686729</v>
      </c>
      <c r="O198" s="5">
        <v>3311316</v>
      </c>
      <c r="P198" s="5">
        <v>475520</v>
      </c>
      <c r="Q198" s="5">
        <f t="shared" si="19"/>
        <v>12473565</v>
      </c>
      <c r="R198" s="5">
        <v>149210</v>
      </c>
      <c r="S198" s="5">
        <f t="shared" si="49"/>
        <v>12622775</v>
      </c>
      <c r="U198" s="6">
        <v>45120</v>
      </c>
      <c r="V198" s="8">
        <v>13245152</v>
      </c>
      <c r="W198" s="8">
        <v>4136680</v>
      </c>
      <c r="X198" s="8">
        <v>273050</v>
      </c>
      <c r="Y198" s="26">
        <f t="shared" si="54"/>
        <v>17654882</v>
      </c>
      <c r="Z198" s="26">
        <v>886900</v>
      </c>
      <c r="AA198" s="8">
        <v>14900</v>
      </c>
      <c r="AB198" s="26">
        <f t="shared" si="51"/>
        <v>18556682</v>
      </c>
      <c r="AD198" s="6">
        <v>45485</v>
      </c>
      <c r="AE198" s="8">
        <v>11159241</v>
      </c>
      <c r="AF198" s="8">
        <v>1617310</v>
      </c>
      <c r="AG198" s="8">
        <v>82800</v>
      </c>
      <c r="AH198" s="5">
        <f t="shared" si="50"/>
        <v>12859351</v>
      </c>
      <c r="AI198" s="26">
        <v>939880</v>
      </c>
      <c r="AJ198" s="8">
        <v>0</v>
      </c>
      <c r="AK198" s="5">
        <f t="shared" si="41"/>
        <v>13799231</v>
      </c>
      <c r="AM198" s="6">
        <v>45851</v>
      </c>
      <c r="AN198" s="8">
        <v>135169</v>
      </c>
      <c r="AO198" s="8">
        <v>92760</v>
      </c>
      <c r="AP198" s="8">
        <v>165880</v>
      </c>
      <c r="AQ198" s="5">
        <f t="shared" si="46"/>
        <v>393809</v>
      </c>
      <c r="AR198" s="26">
        <v>787310</v>
      </c>
      <c r="AS198" s="5">
        <v>16300</v>
      </c>
      <c r="AT198" s="8">
        <f t="shared" si="55"/>
        <v>803610</v>
      </c>
      <c r="AU198" s="26"/>
      <c r="AV198" s="5">
        <f t="shared" si="47"/>
        <v>1197419</v>
      </c>
      <c r="AX198" s="6">
        <v>46217</v>
      </c>
      <c r="AY198" s="8">
        <v>16197890</v>
      </c>
      <c r="AZ198" s="8">
        <v>927740</v>
      </c>
      <c r="BA198" s="8">
        <v>207200</v>
      </c>
      <c r="BB198" s="20">
        <f t="shared" si="45"/>
        <v>17332830</v>
      </c>
      <c r="BC198" s="26">
        <v>3615500</v>
      </c>
      <c r="BD198" s="5">
        <v>74400</v>
      </c>
      <c r="BE198" s="8">
        <f t="shared" si="42"/>
        <v>3689900</v>
      </c>
      <c r="BF198" s="26">
        <v>106760</v>
      </c>
      <c r="BG198" s="5">
        <f t="shared" si="48"/>
        <v>21129490</v>
      </c>
    </row>
    <row r="199" spans="1:59">
      <c r="A199" s="12">
        <v>44029</v>
      </c>
      <c r="B199" s="8">
        <v>10611042</v>
      </c>
      <c r="C199" s="8">
        <v>3969930</v>
      </c>
      <c r="D199" s="11">
        <f t="shared" si="52"/>
        <v>14580972</v>
      </c>
      <c r="F199" s="13">
        <v>44393</v>
      </c>
      <c r="G199" s="5">
        <v>6975572</v>
      </c>
      <c r="H199" s="5">
        <v>3133730</v>
      </c>
      <c r="I199" s="8">
        <v>348080</v>
      </c>
      <c r="K199" s="7">
        <f t="shared" si="53"/>
        <v>10457382</v>
      </c>
      <c r="M199" s="6">
        <v>44757</v>
      </c>
      <c r="N199" s="5">
        <v>4408655</v>
      </c>
      <c r="O199" s="5">
        <v>1001000</v>
      </c>
      <c r="P199" s="5">
        <v>276180</v>
      </c>
      <c r="Q199" s="5">
        <f t="shared" si="19"/>
        <v>5685835</v>
      </c>
      <c r="R199" s="5">
        <v>122460</v>
      </c>
      <c r="S199" s="5">
        <f t="shared" si="49"/>
        <v>5808295</v>
      </c>
      <c r="U199" s="6">
        <v>45121</v>
      </c>
      <c r="V199" s="8">
        <v>9065067</v>
      </c>
      <c r="W199" s="8">
        <v>3371020</v>
      </c>
      <c r="X199" s="8">
        <v>677140</v>
      </c>
      <c r="Y199" s="26">
        <f t="shared" si="54"/>
        <v>13113227</v>
      </c>
      <c r="Z199" s="26">
        <v>623000</v>
      </c>
      <c r="AA199" s="8">
        <v>0</v>
      </c>
      <c r="AB199" s="26">
        <f t="shared" si="51"/>
        <v>13736227</v>
      </c>
      <c r="AD199" s="6">
        <v>45486</v>
      </c>
      <c r="AE199" s="8">
        <v>4212051</v>
      </c>
      <c r="AF199" s="8">
        <v>1418880</v>
      </c>
      <c r="AG199" s="8">
        <v>209120</v>
      </c>
      <c r="AH199" s="5">
        <f t="shared" si="50"/>
        <v>5840051</v>
      </c>
      <c r="AI199" s="26">
        <v>538440</v>
      </c>
      <c r="AJ199" s="8">
        <v>0</v>
      </c>
      <c r="AK199" s="5">
        <f t="shared" ref="AK199:AK262" si="56">AH199+AJ199+AI199</f>
        <v>6378491</v>
      </c>
      <c r="AM199" s="6">
        <v>45852</v>
      </c>
      <c r="AN199" s="8">
        <v>17704868</v>
      </c>
      <c r="AO199" s="8">
        <v>990350</v>
      </c>
      <c r="AP199" s="8">
        <v>418610</v>
      </c>
      <c r="AQ199" s="5">
        <f t="shared" si="46"/>
        <v>19113828</v>
      </c>
      <c r="AR199" s="26">
        <v>1499390</v>
      </c>
      <c r="AS199" s="5">
        <v>56200</v>
      </c>
      <c r="AT199" s="8">
        <f t="shared" si="55"/>
        <v>1555590</v>
      </c>
      <c r="AU199" s="26"/>
      <c r="AV199" s="5">
        <f t="shared" si="47"/>
        <v>20669418</v>
      </c>
      <c r="AX199" s="6">
        <v>46218</v>
      </c>
      <c r="AY199" s="8">
        <v>17085130</v>
      </c>
      <c r="AZ199" s="8">
        <v>522400</v>
      </c>
      <c r="BA199" s="8">
        <v>288870</v>
      </c>
      <c r="BB199" s="20">
        <f t="shared" si="45"/>
        <v>17896400</v>
      </c>
      <c r="BC199" s="26">
        <v>1935760</v>
      </c>
      <c r="BD199" s="5">
        <v>166600</v>
      </c>
      <c r="BE199" s="8">
        <f>BC199+BD199</f>
        <v>2102360</v>
      </c>
      <c r="BF199" s="26">
        <v>87500</v>
      </c>
      <c r="BG199" s="5">
        <f>BB199+BE199+BF199</f>
        <v>20086260</v>
      </c>
    </row>
    <row r="200" spans="1:59">
      <c r="A200" s="12">
        <v>44030</v>
      </c>
      <c r="D200" s="11">
        <f t="shared" si="52"/>
        <v>0</v>
      </c>
      <c r="F200" s="13">
        <v>44394</v>
      </c>
      <c r="G200" s="5">
        <v>2212420</v>
      </c>
      <c r="H200" s="5">
        <v>1340480</v>
      </c>
      <c r="I200" s="8">
        <v>63900</v>
      </c>
      <c r="K200" s="7">
        <f t="shared" si="53"/>
        <v>3616800</v>
      </c>
      <c r="M200" s="6">
        <v>44758</v>
      </c>
      <c r="N200" s="5">
        <v>2626464</v>
      </c>
      <c r="O200" s="5">
        <v>897170</v>
      </c>
      <c r="P200" s="5">
        <v>360220</v>
      </c>
      <c r="Q200" s="5">
        <f t="shared" si="19"/>
        <v>3883854</v>
      </c>
      <c r="R200" s="5">
        <v>34400</v>
      </c>
      <c r="S200" s="5">
        <f t="shared" si="49"/>
        <v>3918254</v>
      </c>
      <c r="U200" s="6">
        <v>45122</v>
      </c>
      <c r="V200" s="8">
        <v>2547649</v>
      </c>
      <c r="W200" s="8">
        <v>1215450</v>
      </c>
      <c r="X200" s="8">
        <v>456670</v>
      </c>
      <c r="Y200" s="26">
        <f t="shared" si="54"/>
        <v>4219769</v>
      </c>
      <c r="Z200" s="26">
        <v>437000</v>
      </c>
      <c r="AA200" s="8">
        <v>29800</v>
      </c>
      <c r="AB200" s="26">
        <f t="shared" si="51"/>
        <v>4686569</v>
      </c>
      <c r="AD200" s="6">
        <v>45487</v>
      </c>
      <c r="AE200" s="8">
        <v>2451729</v>
      </c>
      <c r="AF200" s="8">
        <v>955102</v>
      </c>
      <c r="AG200" s="8">
        <v>213280</v>
      </c>
      <c r="AH200" s="5">
        <f t="shared" si="50"/>
        <v>3620111</v>
      </c>
      <c r="AI200" s="26">
        <v>895400</v>
      </c>
      <c r="AJ200" s="8">
        <v>0</v>
      </c>
      <c r="AK200" s="5">
        <f t="shared" si="56"/>
        <v>4515511</v>
      </c>
      <c r="AM200" s="6">
        <v>45853</v>
      </c>
      <c r="AN200" s="8">
        <v>18542295</v>
      </c>
      <c r="AO200" s="8">
        <v>1457340</v>
      </c>
      <c r="AP200" s="8">
        <v>327000</v>
      </c>
      <c r="AQ200" s="5">
        <f t="shared" si="46"/>
        <v>20326635</v>
      </c>
      <c r="AR200" s="26">
        <v>1750350</v>
      </c>
      <c r="AS200" s="5">
        <v>31700</v>
      </c>
      <c r="AT200" s="8">
        <f t="shared" si="55"/>
        <v>1782050</v>
      </c>
      <c r="AU200" s="26"/>
      <c r="AV200" s="5">
        <f t="shared" si="47"/>
        <v>22108685</v>
      </c>
      <c r="AX200" s="6">
        <v>46219</v>
      </c>
      <c r="AY200" s="8">
        <v>8640940</v>
      </c>
      <c r="AZ200" s="8">
        <v>794330</v>
      </c>
      <c r="BA200" s="8">
        <v>156550</v>
      </c>
      <c r="BB200" s="20">
        <f t="shared" si="45"/>
        <v>9591820</v>
      </c>
      <c r="BC200" s="26">
        <v>1145670</v>
      </c>
      <c r="BD200" s="5">
        <v>0</v>
      </c>
      <c r="BE200" s="8">
        <f t="shared" ref="BE200:BE219" si="57">BC200+BD200</f>
        <v>1145670</v>
      </c>
      <c r="BF200" s="26">
        <v>107000</v>
      </c>
      <c r="BG200" s="5">
        <f>BB200+BE200+BF200</f>
        <v>10844490</v>
      </c>
    </row>
    <row r="201" spans="1:59">
      <c r="A201" s="12">
        <v>44031</v>
      </c>
      <c r="D201" s="11">
        <f t="shared" si="52"/>
        <v>0</v>
      </c>
      <c r="F201" s="13">
        <v>44395</v>
      </c>
      <c r="G201" s="5">
        <v>2786948</v>
      </c>
      <c r="H201" s="5">
        <v>1550056</v>
      </c>
      <c r="I201" s="8">
        <v>186180</v>
      </c>
      <c r="K201" s="7">
        <f t="shared" si="53"/>
        <v>4523184</v>
      </c>
      <c r="M201" s="6">
        <v>44759</v>
      </c>
      <c r="N201" s="5">
        <v>3333068</v>
      </c>
      <c r="O201" s="5">
        <v>1130680</v>
      </c>
      <c r="P201" s="5">
        <v>438240</v>
      </c>
      <c r="Q201" s="5">
        <f t="shared" si="19"/>
        <v>4901988</v>
      </c>
      <c r="R201" s="5">
        <v>67220</v>
      </c>
      <c r="S201" s="5">
        <f t="shared" si="49"/>
        <v>4969208</v>
      </c>
      <c r="U201" s="6">
        <v>45123</v>
      </c>
      <c r="V201" s="8">
        <v>2116219</v>
      </c>
      <c r="W201" s="8">
        <v>1208560</v>
      </c>
      <c r="X201" s="8">
        <v>412830</v>
      </c>
      <c r="Y201" s="26">
        <f t="shared" si="54"/>
        <v>3737609</v>
      </c>
      <c r="Z201" s="26">
        <v>652900</v>
      </c>
      <c r="AA201" s="8">
        <v>0</v>
      </c>
      <c r="AB201" s="26">
        <f t="shared" si="51"/>
        <v>4390509</v>
      </c>
      <c r="AD201" s="6">
        <v>45488</v>
      </c>
      <c r="AE201" s="8">
        <v>9804439</v>
      </c>
      <c r="AF201" s="8">
        <v>2566720</v>
      </c>
      <c r="AG201" s="8">
        <v>128030</v>
      </c>
      <c r="AH201" s="5">
        <f t="shared" si="50"/>
        <v>12499189</v>
      </c>
      <c r="AI201" s="26">
        <v>1868420</v>
      </c>
      <c r="AJ201" s="8">
        <v>0</v>
      </c>
      <c r="AK201" s="5">
        <f t="shared" si="56"/>
        <v>14367609</v>
      </c>
      <c r="AM201" s="6">
        <v>45854</v>
      </c>
      <c r="AN201" s="8">
        <v>18228222</v>
      </c>
      <c r="AO201" s="8">
        <v>1384330</v>
      </c>
      <c r="AP201" s="8">
        <v>599900</v>
      </c>
      <c r="AQ201" s="5">
        <f t="shared" si="46"/>
        <v>20212452</v>
      </c>
      <c r="AR201" s="26">
        <v>985260</v>
      </c>
      <c r="AS201" s="5">
        <v>0</v>
      </c>
      <c r="AT201" s="8">
        <f t="shared" si="55"/>
        <v>985260</v>
      </c>
      <c r="AU201" s="26"/>
      <c r="AV201" s="5">
        <f t="shared" si="47"/>
        <v>21197712</v>
      </c>
      <c r="AX201" s="6">
        <v>46220</v>
      </c>
      <c r="AY201" s="8">
        <v>4236690</v>
      </c>
      <c r="AZ201" s="8">
        <v>294900</v>
      </c>
      <c r="BA201" s="8">
        <v>73320</v>
      </c>
      <c r="BB201" s="20">
        <f t="shared" si="45"/>
        <v>4604910</v>
      </c>
      <c r="BC201" s="26">
        <v>1003850</v>
      </c>
      <c r="BD201" s="5">
        <v>159500</v>
      </c>
      <c r="BE201" s="8">
        <f t="shared" si="57"/>
        <v>1163350</v>
      </c>
      <c r="BF201" s="26">
        <v>49760</v>
      </c>
      <c r="BG201" s="5">
        <f t="shared" si="48"/>
        <v>5818020</v>
      </c>
    </row>
    <row r="202" spans="1:59">
      <c r="A202" s="12">
        <v>44032</v>
      </c>
      <c r="B202" s="8">
        <v>11383540</v>
      </c>
      <c r="C202" s="8">
        <v>4131380</v>
      </c>
      <c r="D202" s="11">
        <f t="shared" si="52"/>
        <v>15514920</v>
      </c>
      <c r="F202" s="13">
        <v>44396</v>
      </c>
      <c r="G202" s="5">
        <v>8419271</v>
      </c>
      <c r="H202" s="5">
        <v>3420760</v>
      </c>
      <c r="I202" s="8">
        <v>440850</v>
      </c>
      <c r="K202" s="7">
        <f t="shared" si="53"/>
        <v>12280881</v>
      </c>
      <c r="M202" s="6">
        <v>44760</v>
      </c>
      <c r="N202" s="5">
        <v>6582032</v>
      </c>
      <c r="O202" s="5">
        <v>1976410</v>
      </c>
      <c r="P202" s="5">
        <v>527890</v>
      </c>
      <c r="Q202" s="5">
        <f t="shared" si="19"/>
        <v>9086332</v>
      </c>
      <c r="R202" s="5">
        <v>122640</v>
      </c>
      <c r="S202" s="5">
        <f t="shared" si="49"/>
        <v>9208972</v>
      </c>
      <c r="U202" s="6">
        <v>45124</v>
      </c>
      <c r="V202" s="8">
        <v>7757212</v>
      </c>
      <c r="W202" s="8">
        <v>2265160</v>
      </c>
      <c r="X202" s="8">
        <v>941030</v>
      </c>
      <c r="Y202" s="26">
        <f t="shared" si="54"/>
        <v>10963402</v>
      </c>
      <c r="Z202" s="26">
        <v>949040</v>
      </c>
      <c r="AA202" s="8">
        <v>0</v>
      </c>
      <c r="AB202" s="26">
        <f t="shared" si="51"/>
        <v>11912442</v>
      </c>
      <c r="AD202" s="6">
        <v>45489</v>
      </c>
      <c r="AE202" s="8">
        <v>13400102</v>
      </c>
      <c r="AF202" s="8">
        <v>2912740</v>
      </c>
      <c r="AG202" s="8">
        <v>342610</v>
      </c>
      <c r="AH202" s="5">
        <f t="shared" si="50"/>
        <v>16655452</v>
      </c>
      <c r="AI202" s="26">
        <v>1376340</v>
      </c>
      <c r="AJ202" s="8">
        <v>0</v>
      </c>
      <c r="AK202" s="5">
        <f t="shared" si="56"/>
        <v>18031792</v>
      </c>
      <c r="AM202" s="6">
        <v>45855</v>
      </c>
      <c r="AN202" s="8">
        <v>15183221</v>
      </c>
      <c r="AO202" s="8">
        <v>852840</v>
      </c>
      <c r="AP202" s="8">
        <v>446410</v>
      </c>
      <c r="AQ202" s="5">
        <f t="shared" si="46"/>
        <v>16482471</v>
      </c>
      <c r="AR202" s="26">
        <v>1176050</v>
      </c>
      <c r="AS202" s="5">
        <v>48000</v>
      </c>
      <c r="AT202" s="8">
        <f t="shared" si="55"/>
        <v>1224050</v>
      </c>
      <c r="AU202" s="26"/>
      <c r="AV202" s="5">
        <f t="shared" si="47"/>
        <v>17706521</v>
      </c>
      <c r="AX202" s="6">
        <v>46221</v>
      </c>
      <c r="AY202" s="8">
        <v>4536170</v>
      </c>
      <c r="AZ202" s="8">
        <v>173900</v>
      </c>
      <c r="BA202" s="8">
        <v>56850</v>
      </c>
      <c r="BB202" s="20">
        <f t="shared" si="45"/>
        <v>4766920</v>
      </c>
      <c r="BC202" s="26">
        <v>902860</v>
      </c>
      <c r="BD202" s="5">
        <v>60500</v>
      </c>
      <c r="BE202" s="8">
        <f t="shared" si="57"/>
        <v>963360</v>
      </c>
      <c r="BF202" s="26">
        <v>57000</v>
      </c>
      <c r="BG202" s="5">
        <f t="shared" si="48"/>
        <v>5787280</v>
      </c>
    </row>
    <row r="203" spans="1:59">
      <c r="A203" s="12">
        <v>44033</v>
      </c>
      <c r="B203" s="8">
        <v>13900845</v>
      </c>
      <c r="C203" s="8">
        <v>3044230</v>
      </c>
      <c r="D203" s="11">
        <f t="shared" si="52"/>
        <v>16945075</v>
      </c>
      <c r="F203" s="13">
        <v>44397</v>
      </c>
      <c r="G203" s="5">
        <v>10508266</v>
      </c>
      <c r="H203" s="5">
        <v>3005150</v>
      </c>
      <c r="I203" s="8">
        <v>375550</v>
      </c>
      <c r="K203" s="7">
        <f t="shared" si="53"/>
        <v>13888966</v>
      </c>
      <c r="M203" s="6">
        <v>44761</v>
      </c>
      <c r="N203" s="5">
        <v>6337690</v>
      </c>
      <c r="O203" s="5">
        <v>3288570</v>
      </c>
      <c r="P203" s="5">
        <v>246800</v>
      </c>
      <c r="Q203" s="5">
        <f t="shared" si="19"/>
        <v>9873060</v>
      </c>
      <c r="R203" s="5">
        <v>142050</v>
      </c>
      <c r="S203" s="5">
        <f t="shared" si="49"/>
        <v>10015110</v>
      </c>
      <c r="U203" s="6">
        <v>45125</v>
      </c>
      <c r="V203" s="8">
        <v>13786127</v>
      </c>
      <c r="W203" s="8">
        <v>3793490</v>
      </c>
      <c r="X203" s="8">
        <v>573580</v>
      </c>
      <c r="Y203" s="26">
        <f t="shared" si="54"/>
        <v>18153197</v>
      </c>
      <c r="Z203" s="26">
        <v>728450</v>
      </c>
      <c r="AA203" s="8">
        <v>0</v>
      </c>
      <c r="AB203" s="26">
        <f t="shared" si="51"/>
        <v>18881647</v>
      </c>
      <c r="AD203" s="6">
        <v>45490</v>
      </c>
      <c r="AE203" s="8">
        <v>12616996</v>
      </c>
      <c r="AF203" s="8">
        <v>2867590</v>
      </c>
      <c r="AG203" s="8">
        <v>539920</v>
      </c>
      <c r="AH203" s="5">
        <f t="shared" si="50"/>
        <v>16024506</v>
      </c>
      <c r="AI203" s="26">
        <v>2726460</v>
      </c>
      <c r="AJ203" s="8">
        <v>0</v>
      </c>
      <c r="AK203" s="5">
        <f t="shared" si="56"/>
        <v>18750966</v>
      </c>
      <c r="AM203" s="6">
        <v>45856</v>
      </c>
      <c r="AN203" s="8">
        <v>13145582</v>
      </c>
      <c r="AO203" s="8">
        <v>423670</v>
      </c>
      <c r="AP203" s="8">
        <v>108300</v>
      </c>
      <c r="AQ203" s="5">
        <f t="shared" si="46"/>
        <v>13677552</v>
      </c>
      <c r="AR203" s="26">
        <v>1448880</v>
      </c>
      <c r="AS203" s="5">
        <v>0</v>
      </c>
      <c r="AT203" s="8">
        <f t="shared" si="55"/>
        <v>1448880</v>
      </c>
      <c r="AU203" s="26"/>
      <c r="AV203" s="5">
        <f t="shared" si="47"/>
        <v>15126432</v>
      </c>
      <c r="AX203" s="6">
        <v>46222</v>
      </c>
      <c r="AY203" s="8">
        <v>4887030</v>
      </c>
      <c r="AZ203" s="8">
        <v>661630</v>
      </c>
      <c r="BA203" s="8">
        <v>255920</v>
      </c>
      <c r="BB203" s="20">
        <f t="shared" si="45"/>
        <v>5804580</v>
      </c>
      <c r="BC203" s="26">
        <v>484910</v>
      </c>
      <c r="BD203" s="5">
        <v>134900</v>
      </c>
      <c r="BE203" s="8">
        <f t="shared" si="57"/>
        <v>619810</v>
      </c>
      <c r="BF203" s="26">
        <v>174780</v>
      </c>
      <c r="BG203" s="5">
        <f t="shared" si="48"/>
        <v>6599170</v>
      </c>
    </row>
    <row r="204" spans="1:59">
      <c r="A204" s="12">
        <v>44034</v>
      </c>
      <c r="B204" s="8">
        <v>13467858</v>
      </c>
      <c r="C204" s="8">
        <v>2655110</v>
      </c>
      <c r="D204" s="11">
        <f t="shared" si="52"/>
        <v>16122968</v>
      </c>
      <c r="F204" s="13">
        <v>44398</v>
      </c>
      <c r="G204" s="5">
        <v>10588825</v>
      </c>
      <c r="H204" s="5">
        <v>3080634</v>
      </c>
      <c r="I204" s="8">
        <v>406970</v>
      </c>
      <c r="K204" s="7">
        <f t="shared" si="53"/>
        <v>14076429</v>
      </c>
      <c r="M204" s="6">
        <v>44762</v>
      </c>
      <c r="N204" s="5">
        <v>5285043</v>
      </c>
      <c r="O204" s="5">
        <v>2626380</v>
      </c>
      <c r="P204" s="5">
        <v>294900</v>
      </c>
      <c r="Q204" s="5">
        <f t="shared" si="19"/>
        <v>8206323</v>
      </c>
      <c r="R204" s="5">
        <v>70230</v>
      </c>
      <c r="S204" s="5">
        <f t="shared" si="49"/>
        <v>8276553</v>
      </c>
      <c r="U204" s="6">
        <v>45126</v>
      </c>
      <c r="V204" s="8">
        <v>14973222</v>
      </c>
      <c r="W204" s="8">
        <v>4960570</v>
      </c>
      <c r="X204" s="8">
        <v>500110</v>
      </c>
      <c r="Y204" s="26">
        <f t="shared" si="54"/>
        <v>20433902</v>
      </c>
      <c r="Z204" s="26">
        <v>874920</v>
      </c>
      <c r="AA204" s="8">
        <v>0</v>
      </c>
      <c r="AB204" s="26">
        <f t="shared" si="51"/>
        <v>21308822</v>
      </c>
      <c r="AD204" s="6">
        <v>45491</v>
      </c>
      <c r="AE204" s="8">
        <v>12549826</v>
      </c>
      <c r="AF204" s="8">
        <v>2542730</v>
      </c>
      <c r="AG204" s="8">
        <v>266360</v>
      </c>
      <c r="AH204" s="5">
        <f t="shared" si="50"/>
        <v>15358916</v>
      </c>
      <c r="AI204" s="26">
        <v>2071260</v>
      </c>
      <c r="AJ204" s="8">
        <v>0</v>
      </c>
      <c r="AK204" s="5">
        <f t="shared" si="56"/>
        <v>17430176</v>
      </c>
      <c r="AM204" s="6">
        <v>45857</v>
      </c>
      <c r="AN204" s="8">
        <v>5038888</v>
      </c>
      <c r="AO204" s="8">
        <v>388730</v>
      </c>
      <c r="AP204" s="8">
        <v>307100</v>
      </c>
      <c r="AQ204" s="5">
        <f t="shared" si="46"/>
        <v>5734718</v>
      </c>
      <c r="AR204" s="26">
        <v>1266330</v>
      </c>
      <c r="AS204" s="5">
        <v>65300</v>
      </c>
      <c r="AT204" s="8">
        <f t="shared" si="55"/>
        <v>1331630</v>
      </c>
      <c r="AU204" s="26"/>
      <c r="AV204" s="5">
        <f t="shared" si="47"/>
        <v>7066348</v>
      </c>
      <c r="AX204" s="6">
        <v>46223</v>
      </c>
      <c r="AY204" s="8">
        <v>11460409</v>
      </c>
      <c r="AZ204" s="8">
        <v>952180</v>
      </c>
      <c r="BA204" s="8">
        <v>386780</v>
      </c>
      <c r="BB204" s="20">
        <f t="shared" si="45"/>
        <v>12799369</v>
      </c>
      <c r="BC204" s="26">
        <v>1011820</v>
      </c>
      <c r="BD204" s="5">
        <v>15300</v>
      </c>
      <c r="BE204" s="8">
        <f t="shared" si="57"/>
        <v>1027120</v>
      </c>
      <c r="BF204" s="26">
        <v>3945185</v>
      </c>
      <c r="BG204" s="5">
        <f t="shared" si="48"/>
        <v>17771674</v>
      </c>
    </row>
    <row r="205" spans="1:59">
      <c r="A205" s="12">
        <v>44035</v>
      </c>
      <c r="B205" s="8">
        <v>14161575</v>
      </c>
      <c r="C205" s="8">
        <v>3421600</v>
      </c>
      <c r="D205" s="11">
        <f t="shared" si="52"/>
        <v>17583175</v>
      </c>
      <c r="F205" s="13">
        <v>44399</v>
      </c>
      <c r="G205" s="5">
        <v>12405084</v>
      </c>
      <c r="H205" s="5">
        <v>4012355</v>
      </c>
      <c r="I205" s="8">
        <v>398490</v>
      </c>
      <c r="K205" s="7">
        <f t="shared" si="53"/>
        <v>16815929</v>
      </c>
      <c r="M205" s="6">
        <v>44763</v>
      </c>
      <c r="N205" s="5">
        <v>6885946</v>
      </c>
      <c r="O205" s="5">
        <v>2267070</v>
      </c>
      <c r="P205" s="5">
        <v>588340</v>
      </c>
      <c r="Q205" s="5">
        <f t="shared" si="19"/>
        <v>9741356</v>
      </c>
      <c r="R205" s="5">
        <v>89520</v>
      </c>
      <c r="S205" s="5">
        <f t="shared" si="49"/>
        <v>9830876</v>
      </c>
      <c r="U205" s="6">
        <v>45127</v>
      </c>
      <c r="V205" s="8">
        <v>8756939</v>
      </c>
      <c r="W205" s="8">
        <v>3561940</v>
      </c>
      <c r="X205" s="8">
        <v>423200</v>
      </c>
      <c r="Y205" s="26">
        <f t="shared" si="54"/>
        <v>12742079</v>
      </c>
      <c r="Z205" s="26">
        <v>689880</v>
      </c>
      <c r="AA205" s="8">
        <v>28800</v>
      </c>
      <c r="AB205" s="26">
        <f t="shared" si="51"/>
        <v>13460759</v>
      </c>
      <c r="AD205" s="6">
        <v>45492</v>
      </c>
      <c r="AE205" s="8">
        <v>16603317</v>
      </c>
      <c r="AF205" s="8">
        <v>3418840</v>
      </c>
      <c r="AG205" s="8">
        <v>180210</v>
      </c>
      <c r="AH205" s="5">
        <f t="shared" si="50"/>
        <v>20202367</v>
      </c>
      <c r="AI205" s="26">
        <v>976340</v>
      </c>
      <c r="AJ205" s="8">
        <v>20400</v>
      </c>
      <c r="AK205" s="5">
        <f t="shared" si="56"/>
        <v>21199107</v>
      </c>
      <c r="AM205" s="6">
        <v>45858</v>
      </c>
      <c r="AN205" s="8">
        <v>1634054</v>
      </c>
      <c r="AO205" s="8">
        <v>971840</v>
      </c>
      <c r="AP205" s="8">
        <v>76750</v>
      </c>
      <c r="AQ205" s="5">
        <f t="shared" si="46"/>
        <v>2682644</v>
      </c>
      <c r="AR205" s="26">
        <v>1525710</v>
      </c>
      <c r="AS205" s="5">
        <v>0</v>
      </c>
      <c r="AT205" s="8">
        <f t="shared" si="55"/>
        <v>1525710</v>
      </c>
      <c r="AU205" s="26"/>
      <c r="AV205" s="5">
        <f t="shared" si="47"/>
        <v>4208354</v>
      </c>
      <c r="AX205" s="6">
        <v>46224</v>
      </c>
      <c r="AY205" s="8">
        <v>11101287</v>
      </c>
      <c r="AZ205" s="8">
        <v>904900</v>
      </c>
      <c r="BA205" s="8">
        <v>203780</v>
      </c>
      <c r="BB205" s="20">
        <f t="shared" si="45"/>
        <v>12209967</v>
      </c>
      <c r="BC205" s="26">
        <v>1310350</v>
      </c>
      <c r="BD205" s="5">
        <v>0</v>
      </c>
      <c r="BE205" s="8">
        <f t="shared" si="57"/>
        <v>1310350</v>
      </c>
      <c r="BF205" s="26">
        <v>2012550</v>
      </c>
      <c r="BG205" s="5">
        <f t="shared" si="48"/>
        <v>15532867</v>
      </c>
    </row>
    <row r="206" spans="1:59">
      <c r="A206" s="12">
        <v>44036</v>
      </c>
      <c r="B206" s="8">
        <v>14671056</v>
      </c>
      <c r="D206" s="11">
        <f t="shared" si="52"/>
        <v>14671056</v>
      </c>
      <c r="F206" s="13">
        <v>44400</v>
      </c>
      <c r="G206" s="5">
        <v>8341270</v>
      </c>
      <c r="H206" s="5">
        <v>3744360</v>
      </c>
      <c r="I206" s="8">
        <v>604810</v>
      </c>
      <c r="K206" s="7">
        <f t="shared" si="53"/>
        <v>12690440</v>
      </c>
      <c r="M206" s="6">
        <v>44764</v>
      </c>
      <c r="N206" s="5">
        <v>3575610</v>
      </c>
      <c r="O206" s="5">
        <v>1112180</v>
      </c>
      <c r="P206" s="5">
        <v>248420</v>
      </c>
      <c r="Q206" s="5">
        <f t="shared" si="19"/>
        <v>4936210</v>
      </c>
      <c r="R206" s="5">
        <v>70110</v>
      </c>
      <c r="S206" s="5">
        <f t="shared" si="49"/>
        <v>5006320</v>
      </c>
      <c r="U206" s="6">
        <v>45128</v>
      </c>
      <c r="V206" s="8">
        <v>9589356</v>
      </c>
      <c r="W206" s="8">
        <v>3086800</v>
      </c>
      <c r="X206" s="8">
        <v>273140</v>
      </c>
      <c r="Y206" s="26">
        <f t="shared" si="54"/>
        <v>12949296</v>
      </c>
      <c r="Z206" s="26">
        <v>707400</v>
      </c>
      <c r="AA206" s="8">
        <v>0</v>
      </c>
      <c r="AB206" s="26">
        <f t="shared" si="51"/>
        <v>13656696</v>
      </c>
      <c r="AD206" s="6">
        <v>45493</v>
      </c>
      <c r="AE206" s="8">
        <v>800695</v>
      </c>
      <c r="AF206" s="8">
        <v>207460</v>
      </c>
      <c r="AG206" s="8">
        <v>33820</v>
      </c>
      <c r="AH206" s="5">
        <f t="shared" si="50"/>
        <v>1041975</v>
      </c>
      <c r="AI206" s="26">
        <v>951150</v>
      </c>
      <c r="AJ206" s="8">
        <v>0</v>
      </c>
      <c r="AK206" s="5">
        <f t="shared" si="56"/>
        <v>1993125</v>
      </c>
      <c r="AM206" s="6">
        <v>45859</v>
      </c>
      <c r="AN206" s="8">
        <v>16202001</v>
      </c>
      <c r="AO206" s="8">
        <v>1092870</v>
      </c>
      <c r="AP206" s="8">
        <v>369900</v>
      </c>
      <c r="AQ206" s="5">
        <f t="shared" si="46"/>
        <v>17664771</v>
      </c>
      <c r="AR206" s="26">
        <v>4385535</v>
      </c>
      <c r="AS206" s="5">
        <v>0</v>
      </c>
      <c r="AT206" s="8">
        <f t="shared" si="55"/>
        <v>4385535</v>
      </c>
      <c r="AU206" s="26"/>
      <c r="AV206" s="5">
        <f t="shared" si="47"/>
        <v>22050306</v>
      </c>
      <c r="AX206" s="6">
        <v>46225</v>
      </c>
      <c r="AY206" s="8">
        <v>12153730</v>
      </c>
      <c r="AZ206" s="8">
        <v>896960</v>
      </c>
      <c r="BA206" s="8">
        <v>334280</v>
      </c>
      <c r="BB206" s="20">
        <f t="shared" si="45"/>
        <v>13384970</v>
      </c>
      <c r="BC206" s="26">
        <v>808620</v>
      </c>
      <c r="BD206" s="5">
        <v>129600</v>
      </c>
      <c r="BE206" s="8">
        <f t="shared" si="57"/>
        <v>938220</v>
      </c>
      <c r="BF206" s="26">
        <v>3452600</v>
      </c>
      <c r="BG206" s="5">
        <f t="shared" si="48"/>
        <v>17775790</v>
      </c>
    </row>
    <row r="207" spans="1:59">
      <c r="A207" s="12">
        <v>44037</v>
      </c>
      <c r="B207" s="8">
        <v>581781</v>
      </c>
      <c r="D207" s="11">
        <f t="shared" si="52"/>
        <v>581781</v>
      </c>
      <c r="F207" s="13">
        <v>44401</v>
      </c>
      <c r="G207" s="5">
        <v>2058394</v>
      </c>
      <c r="H207" s="5">
        <v>539187</v>
      </c>
      <c r="I207" s="8">
        <v>490340</v>
      </c>
      <c r="K207" s="7">
        <f t="shared" si="53"/>
        <v>3087921</v>
      </c>
      <c r="M207" s="6">
        <v>44765</v>
      </c>
      <c r="N207" s="5">
        <v>2200460</v>
      </c>
      <c r="O207" s="5">
        <v>943730</v>
      </c>
      <c r="P207" s="5">
        <v>132090</v>
      </c>
      <c r="Q207" s="5">
        <f t="shared" si="19"/>
        <v>3276280</v>
      </c>
      <c r="R207" s="5">
        <v>62770</v>
      </c>
      <c r="S207" s="5">
        <f t="shared" si="49"/>
        <v>3339050</v>
      </c>
      <c r="U207" s="6">
        <v>45129</v>
      </c>
      <c r="V207" s="8">
        <v>3242514</v>
      </c>
      <c r="W207" s="8">
        <v>1261860</v>
      </c>
      <c r="X207" s="8">
        <v>184020</v>
      </c>
      <c r="Y207" s="26">
        <f t="shared" si="54"/>
        <v>4688394</v>
      </c>
      <c r="Z207" s="26">
        <v>442000</v>
      </c>
      <c r="AA207" s="8">
        <v>0</v>
      </c>
      <c r="AB207" s="26">
        <f t="shared" si="51"/>
        <v>5130394</v>
      </c>
      <c r="AD207" s="6">
        <v>45494</v>
      </c>
      <c r="AE207" s="8">
        <v>826302</v>
      </c>
      <c r="AF207" s="8">
        <v>470480</v>
      </c>
      <c r="AG207" s="8">
        <v>444130</v>
      </c>
      <c r="AH207" s="5">
        <f t="shared" si="50"/>
        <v>1740912</v>
      </c>
      <c r="AI207" s="26">
        <v>1481710</v>
      </c>
      <c r="AJ207" s="8">
        <v>16500</v>
      </c>
      <c r="AK207" s="5">
        <f t="shared" si="56"/>
        <v>3239122</v>
      </c>
      <c r="AM207" s="6">
        <v>45860</v>
      </c>
      <c r="AN207" s="8">
        <v>16592437</v>
      </c>
      <c r="AO207" s="8">
        <v>880060</v>
      </c>
      <c r="AP207" s="8">
        <v>541100</v>
      </c>
      <c r="AQ207" s="5">
        <f t="shared" si="46"/>
        <v>18013597</v>
      </c>
      <c r="AR207" s="26">
        <v>3955180</v>
      </c>
      <c r="AS207" s="5">
        <v>31700</v>
      </c>
      <c r="AT207" s="8">
        <f t="shared" si="55"/>
        <v>3986880</v>
      </c>
      <c r="AU207" s="26"/>
      <c r="AV207" s="5">
        <f t="shared" si="47"/>
        <v>22000477</v>
      </c>
      <c r="AX207" s="6">
        <v>46226</v>
      </c>
      <c r="AY207" s="8">
        <v>12454540</v>
      </c>
      <c r="AZ207" s="8">
        <v>841080</v>
      </c>
      <c r="BA207" s="8">
        <v>164860</v>
      </c>
      <c r="BB207" s="20">
        <f t="shared" si="45"/>
        <v>13460480</v>
      </c>
      <c r="BC207" s="26">
        <v>853910</v>
      </c>
      <c r="BD207" s="5">
        <v>140700</v>
      </c>
      <c r="BE207" s="8">
        <f t="shared" si="57"/>
        <v>994610</v>
      </c>
      <c r="BF207" s="26">
        <v>82000</v>
      </c>
      <c r="BG207" s="5">
        <f t="shared" si="48"/>
        <v>14537090</v>
      </c>
    </row>
    <row r="208" spans="1:59">
      <c r="A208" s="12">
        <v>44038</v>
      </c>
      <c r="D208" s="11">
        <f t="shared" si="52"/>
        <v>0</v>
      </c>
      <c r="F208" s="13">
        <v>44402</v>
      </c>
      <c r="G208" s="5">
        <v>2303138</v>
      </c>
      <c r="H208" s="5">
        <v>1206050</v>
      </c>
      <c r="I208" s="8">
        <v>374650</v>
      </c>
      <c r="K208" s="7">
        <f t="shared" si="53"/>
        <v>3883838</v>
      </c>
      <c r="M208" s="6">
        <v>44766</v>
      </c>
      <c r="N208" s="5">
        <v>2852095</v>
      </c>
      <c r="O208" s="5">
        <v>1354570</v>
      </c>
      <c r="P208" s="5">
        <v>195120</v>
      </c>
      <c r="Q208" s="5">
        <f t="shared" si="19"/>
        <v>4401785</v>
      </c>
      <c r="R208" s="5">
        <v>52410</v>
      </c>
      <c r="S208" s="5">
        <f t="shared" si="49"/>
        <v>4454195</v>
      </c>
      <c r="U208" s="6">
        <v>45130</v>
      </c>
      <c r="V208" s="8">
        <v>2640628</v>
      </c>
      <c r="W208" s="8">
        <v>1367470</v>
      </c>
      <c r="X208" s="8">
        <v>140050</v>
      </c>
      <c r="Y208" s="26">
        <f t="shared" si="54"/>
        <v>4148148</v>
      </c>
      <c r="Z208" s="26">
        <v>854500</v>
      </c>
      <c r="AA208" s="8">
        <v>0</v>
      </c>
      <c r="AB208" s="26">
        <f t="shared" si="51"/>
        <v>5002648</v>
      </c>
      <c r="AD208" s="6">
        <v>45495</v>
      </c>
      <c r="AE208" s="8">
        <v>1945003</v>
      </c>
      <c r="AF208" s="8">
        <v>874670</v>
      </c>
      <c r="AG208" s="8">
        <v>328130</v>
      </c>
      <c r="AH208" s="5">
        <f t="shared" si="50"/>
        <v>3147803</v>
      </c>
      <c r="AI208" s="26">
        <v>1506240</v>
      </c>
      <c r="AJ208" s="8">
        <v>0</v>
      </c>
      <c r="AK208" s="5">
        <f t="shared" si="56"/>
        <v>4654043</v>
      </c>
      <c r="AM208" s="6">
        <v>45861</v>
      </c>
      <c r="AN208" s="8">
        <v>19440487</v>
      </c>
      <c r="AO208" s="8">
        <v>1014960</v>
      </c>
      <c r="AP208" s="8">
        <v>244570</v>
      </c>
      <c r="AQ208" s="5">
        <f t="shared" si="46"/>
        <v>20700017</v>
      </c>
      <c r="AR208" s="26">
        <v>2461650</v>
      </c>
      <c r="AS208" s="5">
        <v>0</v>
      </c>
      <c r="AT208" s="8">
        <f t="shared" si="55"/>
        <v>2461650</v>
      </c>
      <c r="AU208" s="26"/>
      <c r="AV208" s="5">
        <f t="shared" si="47"/>
        <v>23161667</v>
      </c>
      <c r="AX208" s="6">
        <v>46227</v>
      </c>
      <c r="AY208" s="8">
        <v>14949670</v>
      </c>
      <c r="AZ208" s="8">
        <v>1076400</v>
      </c>
      <c r="BA208" s="8">
        <v>161410</v>
      </c>
      <c r="BB208" s="20">
        <f t="shared" si="45"/>
        <v>16187480</v>
      </c>
      <c r="BC208" s="26">
        <v>1066160</v>
      </c>
      <c r="BD208" s="5">
        <v>100800</v>
      </c>
      <c r="BE208" s="8">
        <f t="shared" si="57"/>
        <v>1166960</v>
      </c>
      <c r="BF208" s="26">
        <v>215460</v>
      </c>
      <c r="BG208" s="5">
        <f t="shared" si="48"/>
        <v>17569900</v>
      </c>
    </row>
    <row r="209" spans="1:59">
      <c r="A209" s="12">
        <v>44039</v>
      </c>
      <c r="B209" s="8">
        <v>13393710</v>
      </c>
      <c r="C209" s="8">
        <v>4828310</v>
      </c>
      <c r="D209" s="11">
        <f t="shared" si="52"/>
        <v>18222020</v>
      </c>
      <c r="F209" s="13">
        <v>44403</v>
      </c>
      <c r="G209" s="5">
        <v>3597356</v>
      </c>
      <c r="H209" s="5">
        <v>1953420</v>
      </c>
      <c r="I209" s="8">
        <v>402880</v>
      </c>
      <c r="K209" s="7">
        <f t="shared" si="53"/>
        <v>5953656</v>
      </c>
      <c r="M209" s="6">
        <v>44767</v>
      </c>
      <c r="N209" s="5">
        <v>5324593</v>
      </c>
      <c r="O209" s="5">
        <v>2026630</v>
      </c>
      <c r="P209" s="5">
        <v>404840</v>
      </c>
      <c r="Q209" s="5">
        <f t="shared" si="19"/>
        <v>7756063</v>
      </c>
      <c r="R209" s="5">
        <v>137310</v>
      </c>
      <c r="S209" s="5">
        <f t="shared" si="49"/>
        <v>7893373</v>
      </c>
      <c r="U209" s="6">
        <v>45131</v>
      </c>
      <c r="V209" s="8">
        <v>12651250</v>
      </c>
      <c r="W209" s="8">
        <v>3676530</v>
      </c>
      <c r="X209" s="8">
        <v>660720</v>
      </c>
      <c r="Y209" s="26">
        <f t="shared" si="54"/>
        <v>16988500</v>
      </c>
      <c r="Z209" s="26">
        <v>672000</v>
      </c>
      <c r="AA209" s="8">
        <v>56020</v>
      </c>
      <c r="AB209" s="26">
        <f t="shared" si="51"/>
        <v>17716520</v>
      </c>
      <c r="AD209" s="6">
        <v>45496</v>
      </c>
      <c r="AE209" s="8">
        <v>2084310</v>
      </c>
      <c r="AF209" s="8">
        <v>703210</v>
      </c>
      <c r="AG209" s="8">
        <v>294900</v>
      </c>
      <c r="AH209" s="5">
        <f t="shared" si="50"/>
        <v>3082420</v>
      </c>
      <c r="AI209" s="26">
        <v>1867730</v>
      </c>
      <c r="AJ209" s="8">
        <v>0</v>
      </c>
      <c r="AK209" s="5">
        <f t="shared" si="56"/>
        <v>4950150</v>
      </c>
      <c r="AM209" s="6">
        <v>45862</v>
      </c>
      <c r="AN209" s="8">
        <v>18685122</v>
      </c>
      <c r="AO209" s="8">
        <v>770410</v>
      </c>
      <c r="AP209" s="8">
        <v>452430</v>
      </c>
      <c r="AQ209" s="5">
        <f t="shared" si="46"/>
        <v>19907962</v>
      </c>
      <c r="AR209" s="26">
        <v>3472010</v>
      </c>
      <c r="AS209" s="5">
        <v>0</v>
      </c>
      <c r="AT209" s="8">
        <f t="shared" si="55"/>
        <v>3472010</v>
      </c>
      <c r="AU209" s="26"/>
      <c r="AV209" s="5">
        <f t="shared" si="47"/>
        <v>23379972</v>
      </c>
      <c r="AX209" s="6">
        <v>46228</v>
      </c>
      <c r="AY209" s="8">
        <v>1055780</v>
      </c>
      <c r="AZ209" s="8">
        <v>115500</v>
      </c>
      <c r="BA209" s="8">
        <v>35300</v>
      </c>
      <c r="BB209" s="20">
        <f t="shared" si="45"/>
        <v>1206580</v>
      </c>
      <c r="BC209" s="26">
        <v>590740</v>
      </c>
      <c r="BD209" s="5">
        <v>244600</v>
      </c>
      <c r="BE209" s="8">
        <f t="shared" si="57"/>
        <v>835340</v>
      </c>
      <c r="BF209" s="26">
        <v>24350</v>
      </c>
      <c r="BG209" s="5">
        <f t="shared" si="48"/>
        <v>2066270</v>
      </c>
    </row>
    <row r="210" spans="1:59">
      <c r="A210" s="12">
        <v>44040</v>
      </c>
      <c r="B210" s="8">
        <v>12998550</v>
      </c>
      <c r="C210" s="8">
        <v>2811360</v>
      </c>
      <c r="D210" s="11">
        <f t="shared" si="52"/>
        <v>15809910</v>
      </c>
      <c r="F210" s="13">
        <v>44404</v>
      </c>
      <c r="G210" s="5">
        <v>9027929</v>
      </c>
      <c r="H210" s="5">
        <v>1649550</v>
      </c>
      <c r="I210" s="8">
        <v>236020</v>
      </c>
      <c r="K210" s="7">
        <f t="shared" si="53"/>
        <v>10913499</v>
      </c>
      <c r="M210" s="6">
        <v>44768</v>
      </c>
      <c r="N210" s="5">
        <v>9053619</v>
      </c>
      <c r="O210" s="5">
        <v>2729300</v>
      </c>
      <c r="P210" s="5">
        <v>336470</v>
      </c>
      <c r="Q210" s="5">
        <f t="shared" si="19"/>
        <v>12119389</v>
      </c>
      <c r="R210" s="5">
        <v>35400</v>
      </c>
      <c r="S210" s="5">
        <f t="shared" si="49"/>
        <v>12154789</v>
      </c>
      <c r="U210" s="6">
        <v>45132</v>
      </c>
      <c r="V210" s="8">
        <v>15467247</v>
      </c>
      <c r="W210" s="8">
        <v>4970480</v>
      </c>
      <c r="X210" s="8">
        <v>471440</v>
      </c>
      <c r="Y210" s="26">
        <f t="shared" si="54"/>
        <v>20909167</v>
      </c>
      <c r="Z210" s="26">
        <v>965900</v>
      </c>
      <c r="AA210" s="8">
        <v>0</v>
      </c>
      <c r="AB210" s="26">
        <f t="shared" si="51"/>
        <v>21875067</v>
      </c>
      <c r="AD210" s="6">
        <v>45497</v>
      </c>
      <c r="AE210" s="8">
        <v>1529124</v>
      </c>
      <c r="AF210" s="8">
        <v>567100</v>
      </c>
      <c r="AG210" s="8">
        <v>458820</v>
      </c>
      <c r="AH210" s="5">
        <f t="shared" si="50"/>
        <v>2555044</v>
      </c>
      <c r="AI210" s="26">
        <v>869910</v>
      </c>
      <c r="AJ210" s="8">
        <v>0</v>
      </c>
      <c r="AK210" s="5">
        <f t="shared" si="56"/>
        <v>3424954</v>
      </c>
      <c r="AM210" s="6">
        <v>45863</v>
      </c>
      <c r="AN210" s="8">
        <v>18956554</v>
      </c>
      <c r="AO210" s="8">
        <v>531890</v>
      </c>
      <c r="AP210" s="8">
        <v>374200</v>
      </c>
      <c r="AQ210" s="5">
        <f t="shared" si="46"/>
        <v>19862644</v>
      </c>
      <c r="AR210" s="26">
        <v>1071150</v>
      </c>
      <c r="AS210" s="5">
        <v>31700</v>
      </c>
      <c r="AT210" s="8">
        <f t="shared" si="55"/>
        <v>1102850</v>
      </c>
      <c r="AU210" s="26"/>
      <c r="AV210" s="5">
        <f t="shared" si="47"/>
        <v>20965494</v>
      </c>
      <c r="AX210" s="6">
        <v>46229</v>
      </c>
      <c r="AY210" s="8">
        <v>4111430</v>
      </c>
      <c r="AZ210" s="8">
        <v>1183630</v>
      </c>
      <c r="BA210" s="8">
        <v>145080</v>
      </c>
      <c r="BB210" s="20">
        <f t="shared" si="45"/>
        <v>5440140</v>
      </c>
      <c r="BC210" s="26">
        <v>1575760</v>
      </c>
      <c r="BD210" s="5">
        <v>125600</v>
      </c>
      <c r="BE210" s="8">
        <f t="shared" si="57"/>
        <v>1701360</v>
      </c>
      <c r="BF210" s="26">
        <v>112400</v>
      </c>
      <c r="BG210" s="5">
        <f t="shared" si="48"/>
        <v>7253900</v>
      </c>
    </row>
    <row r="211" spans="1:59">
      <c r="A211" s="12">
        <v>44041</v>
      </c>
      <c r="B211" s="8">
        <v>13490932</v>
      </c>
      <c r="C211" s="8">
        <v>3083970</v>
      </c>
      <c r="D211" s="11">
        <f t="shared" si="52"/>
        <v>16574902</v>
      </c>
      <c r="F211" s="13">
        <v>44405</v>
      </c>
      <c r="G211" s="5">
        <v>8677118</v>
      </c>
      <c r="H211" s="5">
        <v>1554242</v>
      </c>
      <c r="I211" s="8">
        <v>581860</v>
      </c>
      <c r="K211" s="7">
        <f t="shared" si="53"/>
        <v>10813220</v>
      </c>
      <c r="M211" s="6">
        <v>44769</v>
      </c>
      <c r="N211" s="5">
        <v>8643006</v>
      </c>
      <c r="O211" s="5">
        <v>2786850</v>
      </c>
      <c r="P211" s="5">
        <v>501250</v>
      </c>
      <c r="Q211" s="5">
        <f t="shared" si="19"/>
        <v>11931106</v>
      </c>
      <c r="R211" s="5">
        <v>88320</v>
      </c>
      <c r="S211" s="5">
        <f t="shared" si="49"/>
        <v>12019426</v>
      </c>
      <c r="U211" s="6">
        <v>45133</v>
      </c>
      <c r="V211" s="8">
        <v>12891350</v>
      </c>
      <c r="W211" s="8">
        <v>3655180</v>
      </c>
      <c r="X211" s="8">
        <v>575550</v>
      </c>
      <c r="Y211" s="26">
        <f t="shared" si="54"/>
        <v>17122080</v>
      </c>
      <c r="Z211" s="26">
        <v>920800</v>
      </c>
      <c r="AA211" s="8">
        <v>0</v>
      </c>
      <c r="AB211" s="26">
        <f t="shared" si="51"/>
        <v>18042880</v>
      </c>
      <c r="AD211" s="6">
        <v>45498</v>
      </c>
      <c r="AE211" s="8">
        <v>1297889</v>
      </c>
      <c r="AF211" s="8">
        <v>543812</v>
      </c>
      <c r="AG211" s="8">
        <v>267460</v>
      </c>
      <c r="AH211" s="5">
        <f t="shared" si="50"/>
        <v>2109161</v>
      </c>
      <c r="AI211" s="26">
        <v>765110</v>
      </c>
      <c r="AJ211" s="8">
        <v>0</v>
      </c>
      <c r="AK211" s="5">
        <f t="shared" si="56"/>
        <v>2874271</v>
      </c>
      <c r="AM211" s="6">
        <v>45864</v>
      </c>
      <c r="AN211" s="8">
        <v>241126</v>
      </c>
      <c r="AO211" s="8">
        <v>38640</v>
      </c>
      <c r="AP211" s="8">
        <v>55680</v>
      </c>
      <c r="AQ211" s="5">
        <f t="shared" si="46"/>
        <v>335446</v>
      </c>
      <c r="AR211" s="26">
        <v>709510</v>
      </c>
      <c r="AS211" s="5">
        <v>56200</v>
      </c>
      <c r="AT211" s="8">
        <f t="shared" si="55"/>
        <v>765710</v>
      </c>
      <c r="AU211" s="26"/>
      <c r="AV211" s="5">
        <f>AQ211+AT211</f>
        <v>1101156</v>
      </c>
      <c r="AX211" s="6">
        <v>46230</v>
      </c>
      <c r="AY211" s="8">
        <v>9803310</v>
      </c>
      <c r="AZ211" s="8">
        <v>2340800</v>
      </c>
      <c r="BA211" s="8">
        <v>247070</v>
      </c>
      <c r="BB211" s="20">
        <f t="shared" si="45"/>
        <v>12391180</v>
      </c>
      <c r="BC211" s="26">
        <v>552040</v>
      </c>
      <c r="BD211" s="5">
        <v>144900</v>
      </c>
      <c r="BE211" s="8">
        <f t="shared" si="57"/>
        <v>696940</v>
      </c>
      <c r="BF211" s="26">
        <v>160760</v>
      </c>
      <c r="BG211" s="5">
        <f t="shared" si="48"/>
        <v>13248880</v>
      </c>
    </row>
    <row r="212" spans="1:59">
      <c r="A212" s="12">
        <v>44042</v>
      </c>
      <c r="B212" s="8">
        <v>14133995</v>
      </c>
      <c r="C212" s="8">
        <v>3835600</v>
      </c>
      <c r="D212" s="11">
        <f t="shared" si="52"/>
        <v>17969595</v>
      </c>
      <c r="F212" s="13">
        <v>44406</v>
      </c>
      <c r="G212" s="5">
        <v>9918069</v>
      </c>
      <c r="H212" s="5">
        <v>1592630</v>
      </c>
      <c r="I212" s="8">
        <v>187980</v>
      </c>
      <c r="K212" s="7">
        <f t="shared" si="53"/>
        <v>11698679</v>
      </c>
      <c r="M212" s="6">
        <v>44770</v>
      </c>
      <c r="N212" s="5">
        <v>8370574</v>
      </c>
      <c r="O212" s="5">
        <v>3252650</v>
      </c>
      <c r="P212" s="5">
        <v>225280</v>
      </c>
      <c r="Q212" s="5">
        <f t="shared" si="19"/>
        <v>11848504</v>
      </c>
      <c r="R212" s="5">
        <v>86550</v>
      </c>
      <c r="S212" s="5">
        <f t="shared" si="49"/>
        <v>11935054</v>
      </c>
      <c r="U212" s="6">
        <v>45134</v>
      </c>
      <c r="V212" s="8">
        <v>13337170</v>
      </c>
      <c r="W212" s="8">
        <v>4657570</v>
      </c>
      <c r="X212" s="8">
        <v>475390</v>
      </c>
      <c r="Y212" s="26">
        <f t="shared" si="54"/>
        <v>18470130</v>
      </c>
      <c r="Z212" s="26">
        <v>603080</v>
      </c>
      <c r="AA212" s="8">
        <v>0</v>
      </c>
      <c r="AB212" s="26">
        <f t="shared" si="51"/>
        <v>19073210</v>
      </c>
      <c r="AD212" s="6">
        <v>45499</v>
      </c>
      <c r="AE212" s="8">
        <v>0</v>
      </c>
      <c r="AF212" s="8">
        <v>0</v>
      </c>
      <c r="AG212" s="8">
        <v>37992300</v>
      </c>
      <c r="AH212" s="5">
        <f t="shared" si="50"/>
        <v>37992300</v>
      </c>
      <c r="AI212" s="26">
        <v>1305300</v>
      </c>
      <c r="AJ212" s="8">
        <v>0</v>
      </c>
      <c r="AK212" s="5">
        <f t="shared" si="56"/>
        <v>39297600</v>
      </c>
      <c r="AM212" s="6">
        <v>45865</v>
      </c>
      <c r="AN212" s="8">
        <v>3611124</v>
      </c>
      <c r="AO212" s="8">
        <v>1206840</v>
      </c>
      <c r="AP212" s="8">
        <v>295870</v>
      </c>
      <c r="AQ212" s="5">
        <f t="shared" si="46"/>
        <v>5113834</v>
      </c>
      <c r="AR212" s="26">
        <v>807800</v>
      </c>
      <c r="AS212" s="5">
        <v>0</v>
      </c>
      <c r="AT212" s="8">
        <f t="shared" si="55"/>
        <v>807800</v>
      </c>
      <c r="AU212" s="26"/>
      <c r="AV212" s="5">
        <f t="shared" ref="AV212:AV256" si="58">AQ212+AT212</f>
        <v>5921634</v>
      </c>
      <c r="AX212" s="6">
        <v>46231</v>
      </c>
      <c r="AY212" s="8">
        <v>5370650</v>
      </c>
      <c r="AZ212" s="8">
        <v>950120</v>
      </c>
      <c r="BA212" s="8">
        <v>367850</v>
      </c>
      <c r="BB212" s="20">
        <f t="shared" si="45"/>
        <v>6688620</v>
      </c>
      <c r="BC212" s="26">
        <v>476690</v>
      </c>
      <c r="BD212" s="5">
        <v>135600</v>
      </c>
      <c r="BE212" s="8">
        <f t="shared" si="57"/>
        <v>612290</v>
      </c>
      <c r="BF212" s="26">
        <v>74760</v>
      </c>
      <c r="BG212" s="5">
        <f t="shared" si="48"/>
        <v>7375670</v>
      </c>
    </row>
    <row r="213" spans="1:59">
      <c r="A213" s="12">
        <v>44043</v>
      </c>
      <c r="B213" s="8">
        <v>7812080</v>
      </c>
      <c r="C213" s="8">
        <v>5099790</v>
      </c>
      <c r="D213" s="11">
        <f t="shared" si="52"/>
        <v>12911870</v>
      </c>
      <c r="F213" s="13">
        <v>44407</v>
      </c>
      <c r="G213" s="5">
        <v>8308988</v>
      </c>
      <c r="H213" s="5">
        <v>901760</v>
      </c>
      <c r="I213" s="8">
        <v>337280</v>
      </c>
      <c r="K213" s="7">
        <f t="shared" si="53"/>
        <v>9548028</v>
      </c>
      <c r="M213" s="6">
        <v>44771</v>
      </c>
      <c r="N213" s="5">
        <v>9242718</v>
      </c>
      <c r="O213" s="5">
        <v>2538560</v>
      </c>
      <c r="P213" s="5">
        <v>773570</v>
      </c>
      <c r="Q213" s="5">
        <f t="shared" si="19"/>
        <v>12554848</v>
      </c>
      <c r="R213" s="5">
        <v>18900</v>
      </c>
      <c r="S213" s="5">
        <f t="shared" si="49"/>
        <v>12573748</v>
      </c>
      <c r="U213" s="6">
        <v>45135</v>
      </c>
      <c r="V213" s="8">
        <v>13237014</v>
      </c>
      <c r="W213" s="8">
        <v>3592240</v>
      </c>
      <c r="X213" s="8">
        <v>164400</v>
      </c>
      <c r="Y213" s="26">
        <f t="shared" si="54"/>
        <v>16993654</v>
      </c>
      <c r="Z213" s="26">
        <v>496440</v>
      </c>
      <c r="AA213" s="8">
        <v>0</v>
      </c>
      <c r="AB213" s="26">
        <f t="shared" si="51"/>
        <v>17490094</v>
      </c>
      <c r="AD213" s="6">
        <v>45500</v>
      </c>
      <c r="AE213" s="8">
        <v>0</v>
      </c>
      <c r="AF213" s="8">
        <v>0</v>
      </c>
      <c r="AG213" s="8">
        <v>17085300</v>
      </c>
      <c r="AH213" s="5">
        <f t="shared" si="50"/>
        <v>17085300</v>
      </c>
      <c r="AI213" s="26">
        <v>897570</v>
      </c>
      <c r="AJ213" s="8">
        <v>0</v>
      </c>
      <c r="AK213" s="5">
        <f t="shared" si="56"/>
        <v>17982870</v>
      </c>
      <c r="AM213" s="6">
        <v>45866</v>
      </c>
      <c r="AN213" s="8">
        <v>6966200</v>
      </c>
      <c r="AO213" s="8">
        <v>2600920</v>
      </c>
      <c r="AP213" s="8">
        <v>653960</v>
      </c>
      <c r="AQ213" s="5">
        <f t="shared" si="46"/>
        <v>10221080</v>
      </c>
      <c r="AR213" s="26">
        <v>951230</v>
      </c>
      <c r="AS213" s="5">
        <v>0</v>
      </c>
      <c r="AT213" s="8">
        <f t="shared" si="55"/>
        <v>951230</v>
      </c>
      <c r="AU213" s="26"/>
      <c r="AV213" s="5">
        <f t="shared" si="58"/>
        <v>11172310</v>
      </c>
      <c r="AX213" s="6">
        <v>46232</v>
      </c>
      <c r="AY213" s="8">
        <v>4340466</v>
      </c>
      <c r="AZ213" s="8">
        <v>1079580</v>
      </c>
      <c r="BA213" s="8">
        <v>367850</v>
      </c>
      <c r="BB213" s="20">
        <f t="shared" ref="BB213:BB219" si="59">SUM(AY213:BA213)</f>
        <v>5787896</v>
      </c>
      <c r="BC213" s="26">
        <v>805190</v>
      </c>
      <c r="BD213" s="5">
        <v>59800</v>
      </c>
      <c r="BE213" s="8">
        <f t="shared" si="57"/>
        <v>864990</v>
      </c>
      <c r="BF213" s="26">
        <v>225260</v>
      </c>
      <c r="BG213" s="5">
        <f t="shared" si="48"/>
        <v>6878146</v>
      </c>
    </row>
    <row r="214" spans="1:59">
      <c r="A214" s="12">
        <v>44044</v>
      </c>
      <c r="B214" s="8">
        <v>1974988</v>
      </c>
      <c r="C214" s="8">
        <v>2454940</v>
      </c>
      <c r="D214" s="11">
        <f t="shared" si="52"/>
        <v>4429928</v>
      </c>
      <c r="F214" s="13">
        <v>44408</v>
      </c>
      <c r="G214" s="5">
        <v>3054288</v>
      </c>
      <c r="H214" s="5">
        <v>1338650</v>
      </c>
      <c r="I214" s="8">
        <v>241360</v>
      </c>
      <c r="K214" s="7">
        <f t="shared" si="53"/>
        <v>4634298</v>
      </c>
      <c r="M214" s="6">
        <v>44772</v>
      </c>
      <c r="N214" s="5">
        <v>2431234</v>
      </c>
      <c r="O214" s="5">
        <v>717590</v>
      </c>
      <c r="P214" s="5">
        <v>299440</v>
      </c>
      <c r="Q214" s="5">
        <f t="shared" si="19"/>
        <v>3448264</v>
      </c>
      <c r="R214" s="5">
        <v>133950</v>
      </c>
      <c r="S214" s="5">
        <f t="shared" si="49"/>
        <v>3582214</v>
      </c>
      <c r="U214" s="6">
        <v>45136</v>
      </c>
      <c r="V214" s="8">
        <v>3344063</v>
      </c>
      <c r="W214" s="8">
        <v>1487530</v>
      </c>
      <c r="X214" s="8">
        <v>651020</v>
      </c>
      <c r="Y214" s="26">
        <f t="shared" si="54"/>
        <v>5482613</v>
      </c>
      <c r="Z214" s="26">
        <v>476800</v>
      </c>
      <c r="AA214" s="8">
        <v>0</v>
      </c>
      <c r="AB214" s="26">
        <f t="shared" si="51"/>
        <v>5959413</v>
      </c>
      <c r="AD214" s="6">
        <v>45501</v>
      </c>
      <c r="AE214" s="8">
        <v>0</v>
      </c>
      <c r="AF214" s="8">
        <v>0</v>
      </c>
      <c r="AG214" s="8">
        <v>21562700</v>
      </c>
      <c r="AH214" s="5">
        <f t="shared" si="50"/>
        <v>21562700</v>
      </c>
      <c r="AI214" s="26">
        <v>629380</v>
      </c>
      <c r="AJ214" s="8">
        <v>0</v>
      </c>
      <c r="AK214" s="5">
        <f t="shared" si="56"/>
        <v>22192080</v>
      </c>
      <c r="AM214" s="6">
        <v>45867</v>
      </c>
      <c r="AN214" s="8">
        <v>5998598</v>
      </c>
      <c r="AO214" s="8">
        <v>3042290</v>
      </c>
      <c r="AP214" s="8">
        <v>835240</v>
      </c>
      <c r="AQ214" s="5">
        <f t="shared" si="46"/>
        <v>9876128</v>
      </c>
      <c r="AR214" s="26">
        <v>1383090</v>
      </c>
      <c r="AS214" s="5">
        <v>48000</v>
      </c>
      <c r="AT214" s="8">
        <f t="shared" si="55"/>
        <v>1431090</v>
      </c>
      <c r="AU214" s="26"/>
      <c r="AV214" s="5">
        <f t="shared" si="58"/>
        <v>11307218</v>
      </c>
      <c r="AX214" s="6">
        <v>46233</v>
      </c>
      <c r="AY214" s="8">
        <v>6793620</v>
      </c>
      <c r="AZ214" s="8">
        <v>973350</v>
      </c>
      <c r="BA214" s="8">
        <v>475270</v>
      </c>
      <c r="BB214" s="20">
        <f t="shared" si="59"/>
        <v>8242240</v>
      </c>
      <c r="BC214" s="26">
        <v>745690</v>
      </c>
      <c r="BD214" s="5">
        <v>99700</v>
      </c>
      <c r="BE214" s="8">
        <f t="shared" si="57"/>
        <v>845390</v>
      </c>
      <c r="BF214" s="26">
        <v>149120</v>
      </c>
      <c r="BG214" s="5">
        <f t="shared" si="48"/>
        <v>9236750</v>
      </c>
    </row>
    <row r="215" spans="1:59">
      <c r="A215" s="12">
        <v>44045</v>
      </c>
      <c r="B215" s="8">
        <v>6233483</v>
      </c>
      <c r="C215" s="8">
        <v>4614700</v>
      </c>
      <c r="D215" s="11">
        <f t="shared" si="52"/>
        <v>10848183</v>
      </c>
      <c r="F215" s="13">
        <v>44409</v>
      </c>
      <c r="G215" s="5">
        <v>3577091</v>
      </c>
      <c r="H215" s="5">
        <v>1161410</v>
      </c>
      <c r="I215" s="8">
        <v>349800</v>
      </c>
      <c r="K215" s="7">
        <f t="shared" si="53"/>
        <v>5088301</v>
      </c>
      <c r="M215" s="6">
        <v>44773</v>
      </c>
      <c r="N215" s="5">
        <v>955826</v>
      </c>
      <c r="O215" s="5">
        <v>716560</v>
      </c>
      <c r="P215" s="5">
        <v>143880</v>
      </c>
      <c r="Q215" s="5">
        <f t="shared" si="19"/>
        <v>1816266</v>
      </c>
      <c r="R215" s="5">
        <v>101140</v>
      </c>
      <c r="S215" s="5">
        <f t="shared" si="49"/>
        <v>1917406</v>
      </c>
      <c r="U215" s="6">
        <v>45137</v>
      </c>
      <c r="V215" s="8">
        <v>1781373</v>
      </c>
      <c r="W215" s="8">
        <v>874150</v>
      </c>
      <c r="X215" s="8">
        <v>256720</v>
      </c>
      <c r="Y215" s="26">
        <f t="shared" si="54"/>
        <v>2912243</v>
      </c>
      <c r="Z215" s="26">
        <v>497800</v>
      </c>
      <c r="AA215" s="8">
        <v>0</v>
      </c>
      <c r="AB215" s="26">
        <f t="shared" si="51"/>
        <v>3410043</v>
      </c>
      <c r="AD215" s="6">
        <v>45502</v>
      </c>
      <c r="AE215" s="8">
        <v>0</v>
      </c>
      <c r="AF215" s="8">
        <v>0</v>
      </c>
      <c r="AG215" s="8">
        <v>31837000</v>
      </c>
      <c r="AH215" s="5">
        <f t="shared" si="50"/>
        <v>31837000</v>
      </c>
      <c r="AI215" s="26">
        <v>1529730</v>
      </c>
      <c r="AJ215" s="8">
        <v>0</v>
      </c>
      <c r="AK215" s="5">
        <f t="shared" si="56"/>
        <v>33366730</v>
      </c>
      <c r="AM215" s="6">
        <v>45868</v>
      </c>
      <c r="AN215" s="8">
        <v>6978024</v>
      </c>
      <c r="AO215" s="8">
        <v>2478800</v>
      </c>
      <c r="AP215" s="8">
        <v>388510</v>
      </c>
      <c r="AQ215" s="5">
        <f t="shared" si="46"/>
        <v>9845334</v>
      </c>
      <c r="AR215" s="26">
        <v>1481480</v>
      </c>
      <c r="AS215" s="5">
        <v>31700</v>
      </c>
      <c r="AT215" s="8">
        <f t="shared" si="55"/>
        <v>1513180</v>
      </c>
      <c r="AU215" s="26"/>
      <c r="AV215" s="5">
        <f t="shared" si="58"/>
        <v>11358514</v>
      </c>
      <c r="AX215" s="6">
        <v>46234</v>
      </c>
      <c r="AY215" s="8">
        <v>13198680</v>
      </c>
      <c r="AZ215" s="8">
        <v>2028460</v>
      </c>
      <c r="BA215" s="8">
        <v>57200</v>
      </c>
      <c r="BB215" s="20">
        <f t="shared" si="59"/>
        <v>15284340</v>
      </c>
      <c r="BC215" s="26">
        <v>514330</v>
      </c>
      <c r="BD215" s="5">
        <v>214700</v>
      </c>
      <c r="BE215" s="8">
        <f t="shared" si="57"/>
        <v>729030</v>
      </c>
      <c r="BF215" s="26">
        <v>139550</v>
      </c>
      <c r="BG215" s="5">
        <f t="shared" si="48"/>
        <v>16152920</v>
      </c>
    </row>
    <row r="216" spans="1:59">
      <c r="A216" s="12">
        <v>44046</v>
      </c>
      <c r="B216" s="8">
        <v>2947297</v>
      </c>
      <c r="C216" s="8">
        <v>2166110</v>
      </c>
      <c r="D216" s="11">
        <f t="shared" si="52"/>
        <v>5113407</v>
      </c>
      <c r="F216" s="13">
        <v>44410</v>
      </c>
      <c r="G216" s="5">
        <v>10188005</v>
      </c>
      <c r="H216" s="5">
        <v>1828939</v>
      </c>
      <c r="I216" s="8">
        <v>311010</v>
      </c>
      <c r="K216" s="7">
        <f t="shared" si="53"/>
        <v>12327954</v>
      </c>
      <c r="M216" s="6">
        <v>44774</v>
      </c>
      <c r="N216" s="5">
        <v>12398513</v>
      </c>
      <c r="O216" s="5">
        <v>3273445</v>
      </c>
      <c r="P216" s="5">
        <v>379760</v>
      </c>
      <c r="Q216" s="5">
        <f t="shared" si="19"/>
        <v>16051718</v>
      </c>
      <c r="R216" s="5">
        <v>54300</v>
      </c>
      <c r="S216" s="5">
        <f t="shared" si="49"/>
        <v>16106018</v>
      </c>
      <c r="U216" s="6">
        <v>45138</v>
      </c>
      <c r="V216" s="8">
        <v>14367450</v>
      </c>
      <c r="W216" s="8">
        <v>4310490</v>
      </c>
      <c r="X216" s="8">
        <v>221880</v>
      </c>
      <c r="Y216" s="26">
        <f t="shared" si="54"/>
        <v>18899820</v>
      </c>
      <c r="Z216" s="26">
        <v>1876740</v>
      </c>
      <c r="AA216" s="8">
        <v>0</v>
      </c>
      <c r="AB216" s="26">
        <f t="shared" si="51"/>
        <v>20776560</v>
      </c>
      <c r="AD216" s="6">
        <v>45503</v>
      </c>
      <c r="AE216" s="8">
        <v>2119374</v>
      </c>
      <c r="AF216" s="8">
        <v>569820</v>
      </c>
      <c r="AG216" s="8">
        <v>663300</v>
      </c>
      <c r="AH216" s="5">
        <f t="shared" si="50"/>
        <v>3352494</v>
      </c>
      <c r="AI216" s="26">
        <v>1727700</v>
      </c>
      <c r="AJ216" s="8">
        <v>0</v>
      </c>
      <c r="AK216" s="5">
        <f t="shared" si="56"/>
        <v>5080194</v>
      </c>
      <c r="AM216" s="6">
        <v>45869</v>
      </c>
      <c r="AN216" s="8">
        <v>4481849</v>
      </c>
      <c r="AO216" s="8">
        <v>1599610</v>
      </c>
      <c r="AP216" s="8">
        <v>368280</v>
      </c>
      <c r="AQ216" s="5">
        <f t="shared" si="46"/>
        <v>6449739</v>
      </c>
      <c r="AR216" s="26">
        <v>823260</v>
      </c>
      <c r="AS216" s="5">
        <v>0</v>
      </c>
      <c r="AT216" s="8">
        <f t="shared" si="55"/>
        <v>823260</v>
      </c>
      <c r="AU216" s="26"/>
      <c r="AV216" s="5">
        <f t="shared" si="58"/>
        <v>7272999</v>
      </c>
      <c r="AX216" s="6">
        <v>46235</v>
      </c>
      <c r="AY216" s="8">
        <v>638360</v>
      </c>
      <c r="AZ216" s="8">
        <v>207350</v>
      </c>
      <c r="BA216" s="8">
        <v>267850</v>
      </c>
      <c r="BB216" s="20">
        <f>SUM(AY216:BA216)</f>
        <v>1113560</v>
      </c>
      <c r="BC216" s="26">
        <v>364040</v>
      </c>
      <c r="BD216" s="5">
        <v>188200</v>
      </c>
      <c r="BE216" s="8">
        <f t="shared" si="57"/>
        <v>552240</v>
      </c>
      <c r="BF216" s="26">
        <v>52780</v>
      </c>
      <c r="BG216" s="5">
        <f t="shared" si="48"/>
        <v>1718580</v>
      </c>
    </row>
    <row r="217" spans="1:59">
      <c r="A217" s="12">
        <v>44047</v>
      </c>
      <c r="B217" s="8">
        <v>12131495</v>
      </c>
      <c r="C217" s="8">
        <v>6052530</v>
      </c>
      <c r="D217" s="11">
        <f t="shared" si="52"/>
        <v>18184025</v>
      </c>
      <c r="F217" s="13">
        <v>44411</v>
      </c>
      <c r="G217" s="5">
        <v>11467758</v>
      </c>
      <c r="H217" s="5">
        <v>1880480</v>
      </c>
      <c r="I217" s="8">
        <v>394550</v>
      </c>
      <c r="K217" s="7">
        <f t="shared" si="53"/>
        <v>13742788</v>
      </c>
      <c r="M217" s="6">
        <v>44775</v>
      </c>
      <c r="N217" s="5">
        <v>9543986</v>
      </c>
      <c r="O217" s="5">
        <v>3473120</v>
      </c>
      <c r="P217" s="5">
        <v>305730</v>
      </c>
      <c r="Q217" s="5">
        <f t="shared" si="19"/>
        <v>13322836</v>
      </c>
      <c r="R217" s="5">
        <v>71000</v>
      </c>
      <c r="S217" s="5">
        <f t="shared" si="49"/>
        <v>13393836</v>
      </c>
      <c r="U217" s="6">
        <v>45139</v>
      </c>
      <c r="V217" s="8">
        <v>11195111</v>
      </c>
      <c r="W217" s="8">
        <v>2915100</v>
      </c>
      <c r="X217" s="8">
        <v>562300</v>
      </c>
      <c r="Y217" s="26">
        <f t="shared" si="54"/>
        <v>14672511</v>
      </c>
      <c r="Z217" s="26">
        <v>637940</v>
      </c>
      <c r="AA217" s="8">
        <v>0</v>
      </c>
      <c r="AB217" s="26">
        <f t="shared" si="51"/>
        <v>15310451</v>
      </c>
      <c r="AD217" s="6">
        <v>45504</v>
      </c>
      <c r="AE217" s="8">
        <v>1725589</v>
      </c>
      <c r="AF217" s="8">
        <v>929060</v>
      </c>
      <c r="AG217" s="8">
        <v>20600</v>
      </c>
      <c r="AH217" s="5">
        <f t="shared" si="50"/>
        <v>2675249</v>
      </c>
      <c r="AI217" s="26">
        <v>1072060</v>
      </c>
      <c r="AJ217" s="8">
        <v>0</v>
      </c>
      <c r="AK217" s="5">
        <f t="shared" si="56"/>
        <v>3747309</v>
      </c>
      <c r="AM217" s="6">
        <v>45870</v>
      </c>
      <c r="AN217" s="8">
        <v>15847058</v>
      </c>
      <c r="AO217" s="8">
        <v>2397070</v>
      </c>
      <c r="AP217" s="8">
        <v>641070</v>
      </c>
      <c r="AQ217" s="5">
        <f t="shared" si="46"/>
        <v>18885198</v>
      </c>
      <c r="AR217" s="26">
        <v>1058680</v>
      </c>
      <c r="AS217" s="5">
        <v>24500</v>
      </c>
      <c r="AT217" s="8">
        <f t="shared" si="55"/>
        <v>1083180</v>
      </c>
      <c r="AU217" s="26"/>
      <c r="AV217" s="5">
        <f t="shared" si="58"/>
        <v>19968378</v>
      </c>
      <c r="AX217" s="6">
        <v>46236</v>
      </c>
      <c r="AY217" s="8">
        <v>15810900</v>
      </c>
      <c r="AZ217" s="8">
        <v>2294850</v>
      </c>
      <c r="BA217" s="8">
        <v>107960</v>
      </c>
      <c r="BB217" s="20">
        <f t="shared" si="59"/>
        <v>18213710</v>
      </c>
      <c r="BC217" s="26">
        <v>563520</v>
      </c>
      <c r="BD217" s="5">
        <v>209400</v>
      </c>
      <c r="BE217" s="8">
        <f t="shared" si="57"/>
        <v>772920</v>
      </c>
      <c r="BF217" s="26">
        <v>119500</v>
      </c>
      <c r="BG217" s="5">
        <f t="shared" si="48"/>
        <v>19106130</v>
      </c>
    </row>
    <row r="218" spans="1:59">
      <c r="A218" s="12">
        <v>44048</v>
      </c>
      <c r="B218" s="8">
        <v>12973709</v>
      </c>
      <c r="C218" s="8">
        <v>5338320</v>
      </c>
      <c r="D218" s="11">
        <f t="shared" si="52"/>
        <v>18312029</v>
      </c>
      <c r="F218" s="13">
        <v>44412</v>
      </c>
      <c r="G218" s="5">
        <v>10108067</v>
      </c>
      <c r="H218" s="5">
        <v>1203690</v>
      </c>
      <c r="I218" s="8">
        <v>731420</v>
      </c>
      <c r="K218" s="7">
        <f t="shared" si="53"/>
        <v>12043177</v>
      </c>
      <c r="M218" s="6">
        <v>44776</v>
      </c>
      <c r="N218" s="5">
        <v>6168904</v>
      </c>
      <c r="O218" s="5">
        <v>2830510</v>
      </c>
      <c r="P218" s="5">
        <v>385370</v>
      </c>
      <c r="Q218" s="5">
        <f t="shared" si="19"/>
        <v>9384784</v>
      </c>
      <c r="R218" s="5">
        <v>83490</v>
      </c>
      <c r="S218" s="5">
        <f t="shared" si="49"/>
        <v>9468274</v>
      </c>
      <c r="U218" s="6">
        <v>45140</v>
      </c>
      <c r="V218" s="8">
        <v>9641827</v>
      </c>
      <c r="W218" s="8">
        <v>3084600</v>
      </c>
      <c r="X218" s="8">
        <v>448170</v>
      </c>
      <c r="Y218" s="26">
        <f t="shared" si="54"/>
        <v>13174597</v>
      </c>
      <c r="Z218" s="8">
        <v>620580</v>
      </c>
      <c r="AA218" s="8">
        <v>0</v>
      </c>
      <c r="AB218" s="26">
        <f t="shared" si="51"/>
        <v>13795177</v>
      </c>
      <c r="AD218" s="6">
        <v>45505</v>
      </c>
      <c r="AE218" s="8">
        <v>3074882</v>
      </c>
      <c r="AF218" s="8">
        <v>744160</v>
      </c>
      <c r="AG218" s="8">
        <v>0</v>
      </c>
      <c r="AH218" s="5">
        <f t="shared" si="50"/>
        <v>3819042</v>
      </c>
      <c r="AI218" s="8">
        <v>1623380</v>
      </c>
      <c r="AJ218" s="8">
        <v>0</v>
      </c>
      <c r="AK218" s="5">
        <f t="shared" si="56"/>
        <v>5442422</v>
      </c>
      <c r="AM218" s="6">
        <v>45871</v>
      </c>
      <c r="AN218" s="8">
        <v>2397070</v>
      </c>
      <c r="AO218" s="8">
        <v>715760</v>
      </c>
      <c r="AP218" s="8">
        <v>209300</v>
      </c>
      <c r="AQ218" s="5">
        <f t="shared" ref="AQ218:AQ281" si="60">SUM(AN218:AP218)</f>
        <v>3322130</v>
      </c>
      <c r="AR218" s="8">
        <v>576350</v>
      </c>
      <c r="AS218" s="5">
        <v>31700</v>
      </c>
      <c r="AT218" s="8">
        <f t="shared" si="55"/>
        <v>608050</v>
      </c>
      <c r="AV218" s="5">
        <f t="shared" si="58"/>
        <v>3930180</v>
      </c>
      <c r="AX218" s="6">
        <v>46237</v>
      </c>
      <c r="AY218" s="8">
        <v>607170</v>
      </c>
      <c r="AZ218" s="8">
        <v>126610</v>
      </c>
      <c r="BA218" s="8">
        <v>523630</v>
      </c>
      <c r="BB218" s="20">
        <f t="shared" si="59"/>
        <v>1257410</v>
      </c>
      <c r="BC218" s="8">
        <v>632069</v>
      </c>
      <c r="BD218" s="5">
        <v>59800</v>
      </c>
      <c r="BE218" s="8">
        <f t="shared" si="57"/>
        <v>691869</v>
      </c>
      <c r="BF218" s="8">
        <v>187500</v>
      </c>
      <c r="BG218" s="5">
        <f t="shared" si="48"/>
        <v>2136779</v>
      </c>
    </row>
    <row r="219" spans="1:59">
      <c r="A219" s="12">
        <v>44049</v>
      </c>
      <c r="B219" s="8">
        <v>12392305</v>
      </c>
      <c r="C219" s="8">
        <v>5510630</v>
      </c>
      <c r="D219" s="11">
        <f t="shared" si="52"/>
        <v>17902935</v>
      </c>
      <c r="F219" s="13">
        <v>44413</v>
      </c>
      <c r="G219" s="5">
        <v>10124088</v>
      </c>
      <c r="H219" s="5">
        <v>1679060</v>
      </c>
      <c r="I219" s="8">
        <v>638200</v>
      </c>
      <c r="K219" s="7">
        <f t="shared" si="53"/>
        <v>12441348</v>
      </c>
      <c r="M219" s="6">
        <v>44777</v>
      </c>
      <c r="N219" s="5">
        <v>7659393</v>
      </c>
      <c r="O219" s="5">
        <v>2213880</v>
      </c>
      <c r="P219" s="5">
        <v>337370</v>
      </c>
      <c r="Q219" s="5">
        <f t="shared" si="19"/>
        <v>10210643</v>
      </c>
      <c r="R219" s="5">
        <v>136860</v>
      </c>
      <c r="S219" s="5">
        <f t="shared" si="49"/>
        <v>10347503</v>
      </c>
      <c r="U219" s="6">
        <v>45141</v>
      </c>
      <c r="V219" s="8">
        <v>10479916</v>
      </c>
      <c r="W219" s="8">
        <v>3692630</v>
      </c>
      <c r="X219" s="8">
        <v>337640</v>
      </c>
      <c r="Y219" s="26">
        <f t="shared" si="54"/>
        <v>14510186</v>
      </c>
      <c r="Z219" s="8">
        <v>505410</v>
      </c>
      <c r="AA219" s="8">
        <v>0</v>
      </c>
      <c r="AB219" s="26">
        <f t="shared" si="51"/>
        <v>15015596</v>
      </c>
      <c r="AD219" s="6">
        <v>45506</v>
      </c>
      <c r="AE219" s="8">
        <v>871486</v>
      </c>
      <c r="AF219" s="8">
        <v>745840</v>
      </c>
      <c r="AG219" s="8">
        <v>77080</v>
      </c>
      <c r="AH219" s="5">
        <f t="shared" si="50"/>
        <v>1694406</v>
      </c>
      <c r="AI219" s="8">
        <v>753600</v>
      </c>
      <c r="AJ219" s="8">
        <v>0</v>
      </c>
      <c r="AK219" s="5">
        <f t="shared" si="56"/>
        <v>2448006</v>
      </c>
      <c r="AM219" s="6">
        <v>45872</v>
      </c>
      <c r="AN219" s="8">
        <v>10615597</v>
      </c>
      <c r="AO219" s="8">
        <v>2870140</v>
      </c>
      <c r="AP219" s="8">
        <v>29600</v>
      </c>
      <c r="AQ219" s="5">
        <f t="shared" si="60"/>
        <v>13515337</v>
      </c>
      <c r="AR219" s="8">
        <v>873300</v>
      </c>
      <c r="AS219" s="5">
        <v>31700</v>
      </c>
      <c r="AT219" s="8">
        <f t="shared" si="55"/>
        <v>905000</v>
      </c>
      <c r="AV219" s="5">
        <f t="shared" si="58"/>
        <v>14420337</v>
      </c>
      <c r="AX219" s="6">
        <v>46238</v>
      </c>
      <c r="AY219" s="8">
        <v>14534700</v>
      </c>
      <c r="AZ219" s="8">
        <v>2244020</v>
      </c>
      <c r="BA219" s="8">
        <v>395850</v>
      </c>
      <c r="BB219" s="20">
        <f t="shared" si="59"/>
        <v>17174570</v>
      </c>
      <c r="BC219" s="8">
        <v>690180</v>
      </c>
      <c r="BD219" s="5">
        <v>99700</v>
      </c>
      <c r="BE219" s="8">
        <f t="shared" si="57"/>
        <v>789880</v>
      </c>
      <c r="BF219" s="8">
        <v>108500</v>
      </c>
      <c r="BG219" s="5">
        <f t="shared" si="48"/>
        <v>18072950</v>
      </c>
    </row>
    <row r="220" spans="1:59">
      <c r="A220" s="12">
        <v>44050</v>
      </c>
      <c r="B220" s="8">
        <v>5347019</v>
      </c>
      <c r="C220" s="8">
        <v>4004160</v>
      </c>
      <c r="D220" s="11">
        <f t="shared" si="52"/>
        <v>9351179</v>
      </c>
      <c r="F220" s="13">
        <v>44414</v>
      </c>
      <c r="G220" s="5">
        <v>14978139</v>
      </c>
      <c r="H220" s="5">
        <v>840160</v>
      </c>
      <c r="I220" s="8">
        <v>137420</v>
      </c>
      <c r="K220" s="7">
        <f t="shared" si="53"/>
        <v>15955719</v>
      </c>
      <c r="M220" s="6">
        <v>44778</v>
      </c>
      <c r="N220" s="5">
        <v>7379622</v>
      </c>
      <c r="O220" s="5">
        <v>1367074</v>
      </c>
      <c r="P220" s="5">
        <v>34500</v>
      </c>
      <c r="Q220" s="5">
        <f t="shared" si="19"/>
        <v>8781196</v>
      </c>
      <c r="R220" s="5">
        <v>103560</v>
      </c>
      <c r="S220" s="5">
        <f t="shared" si="49"/>
        <v>8884756</v>
      </c>
      <c r="U220" s="6">
        <v>45142</v>
      </c>
      <c r="V220" s="8">
        <v>3933953</v>
      </c>
      <c r="W220" s="8">
        <v>1488775</v>
      </c>
      <c r="X220" s="8">
        <v>253010</v>
      </c>
      <c r="Y220" s="26">
        <f t="shared" si="54"/>
        <v>5675738</v>
      </c>
      <c r="Z220" s="8">
        <v>496938</v>
      </c>
      <c r="AA220" s="8">
        <v>0</v>
      </c>
      <c r="AB220" s="26">
        <f t="shared" si="51"/>
        <v>6172676</v>
      </c>
      <c r="AD220" s="6">
        <v>45507</v>
      </c>
      <c r="AE220" s="8">
        <v>642523</v>
      </c>
      <c r="AF220" s="8">
        <v>343520</v>
      </c>
      <c r="AG220" s="8">
        <v>112610</v>
      </c>
      <c r="AH220" s="5">
        <f t="shared" si="50"/>
        <v>1098653</v>
      </c>
      <c r="AI220" s="8">
        <v>513390</v>
      </c>
      <c r="AJ220" s="8">
        <v>0</v>
      </c>
      <c r="AK220" s="5">
        <f t="shared" si="56"/>
        <v>1612043</v>
      </c>
      <c r="AM220" s="6">
        <v>45873</v>
      </c>
      <c r="AN220" s="8">
        <v>3403108</v>
      </c>
      <c r="AO220" s="8">
        <v>771040</v>
      </c>
      <c r="AP220" s="8">
        <v>211230</v>
      </c>
      <c r="AQ220" s="5">
        <f t="shared" si="60"/>
        <v>4385378</v>
      </c>
      <c r="AR220" s="8">
        <v>2000950</v>
      </c>
      <c r="AS220" s="5">
        <v>24500</v>
      </c>
      <c r="AT220" s="8">
        <f t="shared" si="55"/>
        <v>2025450</v>
      </c>
      <c r="AV220" s="5">
        <f t="shared" si="58"/>
        <v>6410828</v>
      </c>
      <c r="AX220" s="6">
        <v>46239</v>
      </c>
      <c r="BB220" s="5"/>
      <c r="BD220" s="5"/>
      <c r="BF220" s="8">
        <v>32000</v>
      </c>
      <c r="BG220" s="5"/>
    </row>
    <row r="221" spans="1:59">
      <c r="A221" s="12">
        <v>44051</v>
      </c>
      <c r="B221" s="8">
        <v>3758356</v>
      </c>
      <c r="C221" s="8">
        <v>2541540</v>
      </c>
      <c r="D221" s="11">
        <f t="shared" si="52"/>
        <v>6299896</v>
      </c>
      <c r="F221" s="13">
        <v>44415</v>
      </c>
      <c r="G221" s="5">
        <v>555558</v>
      </c>
      <c r="H221" s="5">
        <v>298700</v>
      </c>
      <c r="I221" s="8">
        <v>233840</v>
      </c>
      <c r="K221" s="7">
        <f t="shared" si="53"/>
        <v>1088098</v>
      </c>
      <c r="M221" s="6">
        <v>44779</v>
      </c>
      <c r="N221" s="5">
        <v>4437882</v>
      </c>
      <c r="O221" s="5">
        <v>728780</v>
      </c>
      <c r="P221" s="5">
        <v>222220</v>
      </c>
      <c r="Q221" s="5">
        <f t="shared" si="19"/>
        <v>5388882</v>
      </c>
      <c r="R221" s="5">
        <v>35910</v>
      </c>
      <c r="S221" s="5">
        <f t="shared" si="49"/>
        <v>5424792</v>
      </c>
      <c r="U221" s="6">
        <v>45143</v>
      </c>
      <c r="V221" s="8">
        <v>1986974</v>
      </c>
      <c r="W221" s="8">
        <v>965120</v>
      </c>
      <c r="X221" s="8">
        <v>326890</v>
      </c>
      <c r="Y221" s="26">
        <f t="shared" si="54"/>
        <v>3278984</v>
      </c>
      <c r="Z221" s="8">
        <v>376470</v>
      </c>
      <c r="AA221" s="8">
        <v>0</v>
      </c>
      <c r="AB221" s="26">
        <f t="shared" si="51"/>
        <v>3655454</v>
      </c>
      <c r="AD221" s="6">
        <v>45508</v>
      </c>
      <c r="AE221" s="8">
        <v>782869</v>
      </c>
      <c r="AF221" s="8">
        <v>511050</v>
      </c>
      <c r="AG221" s="8">
        <v>293870</v>
      </c>
      <c r="AH221" s="5">
        <f t="shared" si="50"/>
        <v>1587789</v>
      </c>
      <c r="AI221" s="8">
        <v>1163040</v>
      </c>
      <c r="AJ221" s="8">
        <v>0</v>
      </c>
      <c r="AK221" s="5">
        <f t="shared" si="56"/>
        <v>2750829</v>
      </c>
      <c r="AM221" s="6">
        <v>45874</v>
      </c>
      <c r="AN221" s="8">
        <v>14628926</v>
      </c>
      <c r="AO221" s="8">
        <v>4674450</v>
      </c>
      <c r="AP221" s="8">
        <v>171660</v>
      </c>
      <c r="AQ221" s="5">
        <f t="shared" si="60"/>
        <v>19475036</v>
      </c>
      <c r="AR221" s="8">
        <v>1454840</v>
      </c>
      <c r="AS221" s="5">
        <v>24500</v>
      </c>
      <c r="AT221" s="8">
        <f t="shared" si="55"/>
        <v>1479340</v>
      </c>
      <c r="AV221" s="5">
        <f t="shared" si="58"/>
        <v>20954376</v>
      </c>
      <c r="AX221" s="6">
        <v>46240</v>
      </c>
      <c r="BB221" s="5"/>
      <c r="BD221" s="5"/>
      <c r="BG221" s="5"/>
    </row>
    <row r="222" spans="1:59">
      <c r="A222" s="12">
        <v>44052</v>
      </c>
      <c r="B222" s="8">
        <v>4949554</v>
      </c>
      <c r="C222" s="8">
        <v>3890890</v>
      </c>
      <c r="D222" s="11">
        <f t="shared" si="52"/>
        <v>8840444</v>
      </c>
      <c r="F222" s="13">
        <v>44416</v>
      </c>
      <c r="G222" s="5">
        <v>1683312</v>
      </c>
      <c r="H222" s="5">
        <v>1157191</v>
      </c>
      <c r="I222" s="8">
        <v>280500</v>
      </c>
      <c r="K222" s="7">
        <f t="shared" si="53"/>
        <v>3121003</v>
      </c>
      <c r="M222" s="6">
        <v>44780</v>
      </c>
      <c r="N222" s="5">
        <v>4593734</v>
      </c>
      <c r="O222" s="5">
        <v>852360</v>
      </c>
      <c r="P222" s="5">
        <v>13400</v>
      </c>
      <c r="Q222" s="5">
        <f t="shared" si="19"/>
        <v>5459494</v>
      </c>
      <c r="R222" s="5">
        <v>33630</v>
      </c>
      <c r="S222" s="5">
        <f t="shared" si="49"/>
        <v>5493124</v>
      </c>
      <c r="U222" s="6">
        <v>45144</v>
      </c>
      <c r="V222" s="8">
        <v>2377045</v>
      </c>
      <c r="W222" s="8">
        <v>964210</v>
      </c>
      <c r="X222" s="8">
        <v>226450</v>
      </c>
      <c r="Y222" s="26">
        <f t="shared" si="54"/>
        <v>3567705</v>
      </c>
      <c r="Z222" s="8">
        <v>425520</v>
      </c>
      <c r="AA222" s="8">
        <v>0</v>
      </c>
      <c r="AB222" s="26">
        <f t="shared" si="51"/>
        <v>3993225</v>
      </c>
      <c r="AD222" s="6">
        <v>45509</v>
      </c>
      <c r="AE222" s="8">
        <v>13132731</v>
      </c>
      <c r="AF222" s="8">
        <v>3130521</v>
      </c>
      <c r="AG222" s="8">
        <v>321280</v>
      </c>
      <c r="AH222" s="5">
        <f t="shared" si="50"/>
        <v>16584532</v>
      </c>
      <c r="AI222" s="8">
        <v>969130</v>
      </c>
      <c r="AJ222" s="8">
        <v>0</v>
      </c>
      <c r="AK222" s="5">
        <f t="shared" si="56"/>
        <v>17553662</v>
      </c>
      <c r="AM222" s="6">
        <v>45875</v>
      </c>
      <c r="AN222" s="8">
        <v>9158856</v>
      </c>
      <c r="AO222" s="8">
        <v>2416900</v>
      </c>
      <c r="AP222" s="8">
        <v>213250</v>
      </c>
      <c r="AQ222" s="5">
        <f t="shared" si="60"/>
        <v>11789006</v>
      </c>
      <c r="AR222" s="8">
        <v>1577170</v>
      </c>
      <c r="AS222" s="5">
        <v>56200</v>
      </c>
      <c r="AT222" s="8">
        <f t="shared" si="55"/>
        <v>1633370</v>
      </c>
      <c r="AV222" s="5">
        <f t="shared" si="58"/>
        <v>13422376</v>
      </c>
      <c r="AX222" s="6">
        <v>46241</v>
      </c>
      <c r="BB222" s="5"/>
      <c r="BD222" s="5"/>
      <c r="BG222" s="5"/>
    </row>
    <row r="223" spans="1:59">
      <c r="A223" s="12">
        <v>44053</v>
      </c>
      <c r="B223" s="8">
        <v>6192349</v>
      </c>
      <c r="C223" s="8">
        <v>4013040</v>
      </c>
      <c r="D223" s="11">
        <f t="shared" si="52"/>
        <v>10205389</v>
      </c>
      <c r="F223" s="13">
        <v>44417</v>
      </c>
      <c r="G223" s="5">
        <v>16163368</v>
      </c>
      <c r="H223" s="5">
        <v>919650</v>
      </c>
      <c r="I223" s="8">
        <v>495100</v>
      </c>
      <c r="K223" s="7">
        <f t="shared" si="53"/>
        <v>17578118</v>
      </c>
      <c r="M223" s="6">
        <v>44781</v>
      </c>
      <c r="N223" s="5">
        <v>8638747</v>
      </c>
      <c r="O223" s="5">
        <v>1115380</v>
      </c>
      <c r="P223" s="5">
        <v>425380</v>
      </c>
      <c r="Q223" s="5">
        <f t="shared" si="19"/>
        <v>10179507</v>
      </c>
      <c r="R223" s="5">
        <v>160890</v>
      </c>
      <c r="S223" s="5">
        <f t="shared" si="49"/>
        <v>10340397</v>
      </c>
      <c r="U223" s="6">
        <v>45145</v>
      </c>
      <c r="V223" s="8">
        <v>4770278</v>
      </c>
      <c r="W223" s="8">
        <v>2060400</v>
      </c>
      <c r="X223" s="8">
        <v>471490</v>
      </c>
      <c r="Y223" s="26">
        <f t="shared" si="54"/>
        <v>7302168</v>
      </c>
      <c r="Z223" s="8">
        <v>1119200</v>
      </c>
      <c r="AA223" s="8">
        <v>0</v>
      </c>
      <c r="AB223" s="26">
        <f t="shared" si="51"/>
        <v>8421368</v>
      </c>
      <c r="AD223" s="6">
        <v>45510</v>
      </c>
      <c r="AE223" s="8">
        <v>12991342</v>
      </c>
      <c r="AF223" s="8">
        <v>3738140</v>
      </c>
      <c r="AG223" s="8">
        <v>269720</v>
      </c>
      <c r="AH223" s="5">
        <f t="shared" si="50"/>
        <v>16999202</v>
      </c>
      <c r="AI223" s="8">
        <v>1493235</v>
      </c>
      <c r="AJ223" s="8">
        <v>0</v>
      </c>
      <c r="AK223" s="5">
        <f t="shared" si="56"/>
        <v>18492437</v>
      </c>
      <c r="AM223" s="6">
        <v>45876</v>
      </c>
      <c r="AN223" s="8">
        <v>9117742</v>
      </c>
      <c r="AO223" s="8">
        <v>2825060</v>
      </c>
      <c r="AP223" s="8">
        <v>573910</v>
      </c>
      <c r="AQ223" s="5">
        <f t="shared" si="60"/>
        <v>12516712</v>
      </c>
      <c r="AR223" s="8">
        <v>1368670</v>
      </c>
      <c r="AS223" s="5">
        <v>31700</v>
      </c>
      <c r="AT223" s="8">
        <f t="shared" si="55"/>
        <v>1400370</v>
      </c>
      <c r="AV223" s="5">
        <f t="shared" si="58"/>
        <v>13917082</v>
      </c>
      <c r="AX223" s="6">
        <v>46242</v>
      </c>
      <c r="BB223" s="5"/>
      <c r="BD223" s="5"/>
      <c r="BG223" s="5"/>
    </row>
    <row r="224" spans="1:59">
      <c r="A224" s="12">
        <v>44054</v>
      </c>
      <c r="B224" s="8">
        <v>14437677</v>
      </c>
      <c r="C224" s="8">
        <v>4903840</v>
      </c>
      <c r="D224" s="11">
        <f t="shared" si="52"/>
        <v>19341517</v>
      </c>
      <c r="F224" s="13">
        <v>44418</v>
      </c>
      <c r="G224" s="5">
        <v>17033215</v>
      </c>
      <c r="H224" s="5">
        <v>1800890</v>
      </c>
      <c r="I224" s="8">
        <v>439710</v>
      </c>
      <c r="K224" s="7">
        <f t="shared" si="53"/>
        <v>19273815</v>
      </c>
      <c r="M224" s="6">
        <v>44782</v>
      </c>
      <c r="N224" s="5">
        <v>7281186</v>
      </c>
      <c r="O224" s="5">
        <v>2622150</v>
      </c>
      <c r="P224" s="5">
        <v>292670</v>
      </c>
      <c r="Q224" s="5">
        <f t="shared" si="19"/>
        <v>10196006</v>
      </c>
      <c r="R224" s="5">
        <v>155610</v>
      </c>
      <c r="S224" s="5">
        <f t="shared" si="49"/>
        <v>10351616</v>
      </c>
      <c r="U224" s="6">
        <v>45146</v>
      </c>
      <c r="V224" s="8">
        <v>6822343</v>
      </c>
      <c r="W224" s="8">
        <v>2511320</v>
      </c>
      <c r="X224" s="8">
        <v>487420</v>
      </c>
      <c r="Y224" s="26">
        <f t="shared" si="54"/>
        <v>9821083</v>
      </c>
      <c r="Z224" s="8">
        <v>1008540</v>
      </c>
      <c r="AA224" s="8">
        <v>0</v>
      </c>
      <c r="AB224" s="26">
        <f t="shared" si="51"/>
        <v>10829623</v>
      </c>
      <c r="AD224" s="6">
        <v>45511</v>
      </c>
      <c r="AE224" s="8">
        <v>9716296</v>
      </c>
      <c r="AF224" s="8">
        <v>3013200</v>
      </c>
      <c r="AG224" s="8">
        <v>255010</v>
      </c>
      <c r="AH224" s="5">
        <f t="shared" si="50"/>
        <v>12984506</v>
      </c>
      <c r="AI224" s="8">
        <v>904560</v>
      </c>
      <c r="AJ224" s="8">
        <v>0</v>
      </c>
      <c r="AK224" s="5">
        <f t="shared" si="56"/>
        <v>13889066</v>
      </c>
      <c r="AM224" s="6">
        <v>45877</v>
      </c>
      <c r="AN224" s="8">
        <v>11141039</v>
      </c>
      <c r="AO224" s="8">
        <v>3030470</v>
      </c>
      <c r="AP224" s="8">
        <v>502620</v>
      </c>
      <c r="AQ224" s="5">
        <f t="shared" si="60"/>
        <v>14674129</v>
      </c>
      <c r="AR224" s="8">
        <v>1425980</v>
      </c>
      <c r="AS224" s="5">
        <v>0</v>
      </c>
      <c r="AT224" s="8">
        <f t="shared" si="55"/>
        <v>1425980</v>
      </c>
      <c r="AV224" s="5">
        <f t="shared" si="58"/>
        <v>16100109</v>
      </c>
      <c r="AX224" s="6">
        <v>46243</v>
      </c>
      <c r="BB224" s="5"/>
      <c r="BD224" s="5"/>
      <c r="BG224" s="5"/>
    </row>
    <row r="225" spans="1:59">
      <c r="A225" s="12">
        <v>44055</v>
      </c>
      <c r="B225" s="8">
        <v>6275089</v>
      </c>
      <c r="C225" s="8">
        <v>3937720</v>
      </c>
      <c r="D225" s="11">
        <f t="shared" si="52"/>
        <v>10212809</v>
      </c>
      <c r="F225" s="13">
        <v>44419</v>
      </c>
      <c r="G225" s="5">
        <v>16623267</v>
      </c>
      <c r="H225" s="5">
        <v>671260</v>
      </c>
      <c r="I225" s="8">
        <v>248890</v>
      </c>
      <c r="K225" s="7">
        <f t="shared" si="53"/>
        <v>17543417</v>
      </c>
      <c r="M225" s="6">
        <v>44783</v>
      </c>
      <c r="N225" s="5">
        <v>8105519</v>
      </c>
      <c r="O225" s="5">
        <v>2897010</v>
      </c>
      <c r="P225" s="5">
        <v>320930</v>
      </c>
      <c r="Q225" s="5">
        <f t="shared" si="19"/>
        <v>11323459</v>
      </c>
      <c r="R225" s="5">
        <v>215030</v>
      </c>
      <c r="S225" s="5">
        <f t="shared" si="49"/>
        <v>11538489</v>
      </c>
      <c r="U225" s="6">
        <v>45147</v>
      </c>
      <c r="V225" s="8">
        <v>13446080</v>
      </c>
      <c r="W225" s="8">
        <v>3006490</v>
      </c>
      <c r="X225" s="8">
        <v>704090</v>
      </c>
      <c r="Y225" s="26">
        <f t="shared" si="54"/>
        <v>17156660</v>
      </c>
      <c r="Z225" s="8">
        <v>950540</v>
      </c>
      <c r="AA225" s="8">
        <v>0</v>
      </c>
      <c r="AB225" s="26">
        <f t="shared" si="51"/>
        <v>18107200</v>
      </c>
      <c r="AD225" s="6">
        <v>45512</v>
      </c>
      <c r="AE225" s="8">
        <v>8798721</v>
      </c>
      <c r="AF225" s="8">
        <v>2200790</v>
      </c>
      <c r="AG225" s="8">
        <v>378190</v>
      </c>
      <c r="AH225" s="5">
        <f t="shared" si="50"/>
        <v>11377701</v>
      </c>
      <c r="AI225" s="8">
        <v>852690</v>
      </c>
      <c r="AJ225" s="8">
        <v>0</v>
      </c>
      <c r="AK225" s="5">
        <f t="shared" si="56"/>
        <v>12230391</v>
      </c>
      <c r="AM225" s="6">
        <v>45878</v>
      </c>
      <c r="AN225" s="8">
        <v>4256232</v>
      </c>
      <c r="AO225" s="8">
        <v>1764910</v>
      </c>
      <c r="AP225" s="8">
        <v>565370</v>
      </c>
      <c r="AQ225" s="5">
        <f t="shared" si="60"/>
        <v>6586512</v>
      </c>
      <c r="AR225" s="8">
        <v>876460</v>
      </c>
      <c r="AS225" s="5">
        <v>31700</v>
      </c>
      <c r="AT225" s="8">
        <f t="shared" si="55"/>
        <v>908160</v>
      </c>
      <c r="AV225" s="5">
        <f t="shared" si="58"/>
        <v>7494672</v>
      </c>
      <c r="AX225" s="6">
        <v>46244</v>
      </c>
      <c r="BB225" s="5"/>
      <c r="BD225" s="5"/>
      <c r="BG225" s="5"/>
    </row>
    <row r="226" spans="1:59">
      <c r="A226" s="12">
        <v>44056</v>
      </c>
      <c r="B226" s="8">
        <v>2315386</v>
      </c>
      <c r="C226" s="8">
        <v>2270790</v>
      </c>
      <c r="D226" s="11">
        <f t="shared" si="52"/>
        <v>4586176</v>
      </c>
      <c r="F226" s="13">
        <v>44420</v>
      </c>
      <c r="G226" s="5">
        <v>17979122</v>
      </c>
      <c r="H226" s="5">
        <v>1249560</v>
      </c>
      <c r="I226" s="8">
        <v>461890</v>
      </c>
      <c r="K226" s="7">
        <f t="shared" si="53"/>
        <v>19690572</v>
      </c>
      <c r="M226" s="6">
        <v>44784</v>
      </c>
      <c r="N226" s="5">
        <v>2273692</v>
      </c>
      <c r="O226" s="5">
        <v>1411620</v>
      </c>
      <c r="P226" s="5">
        <v>198380</v>
      </c>
      <c r="Q226" s="5">
        <f t="shared" si="19"/>
        <v>3883692</v>
      </c>
      <c r="R226" s="5">
        <v>139350</v>
      </c>
      <c r="S226" s="5">
        <f t="shared" si="49"/>
        <v>4023042</v>
      </c>
      <c r="U226" s="6">
        <v>45148</v>
      </c>
      <c r="V226" s="8">
        <v>10627696</v>
      </c>
      <c r="W226" s="8">
        <v>2152960</v>
      </c>
      <c r="X226" s="8">
        <v>305300</v>
      </c>
      <c r="Y226" s="26">
        <f t="shared" si="54"/>
        <v>13085956</v>
      </c>
      <c r="Z226" s="8">
        <v>824654</v>
      </c>
      <c r="AA226" s="8">
        <v>0</v>
      </c>
      <c r="AB226" s="26">
        <f t="shared" si="51"/>
        <v>13910610</v>
      </c>
      <c r="AD226" s="6">
        <v>45513</v>
      </c>
      <c r="AE226" s="8">
        <v>9227932</v>
      </c>
      <c r="AF226" s="8">
        <v>2468930</v>
      </c>
      <c r="AG226" s="8">
        <v>269350</v>
      </c>
      <c r="AH226" s="5">
        <f t="shared" si="50"/>
        <v>11966212</v>
      </c>
      <c r="AI226" s="8">
        <v>1015900</v>
      </c>
      <c r="AJ226" s="8">
        <v>0</v>
      </c>
      <c r="AK226" s="5">
        <f t="shared" si="56"/>
        <v>12982112</v>
      </c>
      <c r="AM226" s="6">
        <v>45879</v>
      </c>
      <c r="AN226" s="8">
        <v>2946238</v>
      </c>
      <c r="AO226" s="8">
        <v>916930</v>
      </c>
      <c r="AP226" s="8">
        <v>385330</v>
      </c>
      <c r="AQ226" s="5">
        <f t="shared" si="60"/>
        <v>4248498</v>
      </c>
      <c r="AR226" s="8">
        <v>1319850</v>
      </c>
      <c r="AS226" s="5">
        <v>48000</v>
      </c>
      <c r="AT226" s="8">
        <f t="shared" si="55"/>
        <v>1367850</v>
      </c>
      <c r="AV226" s="5">
        <f t="shared" si="58"/>
        <v>5616348</v>
      </c>
      <c r="AX226" s="6">
        <v>46245</v>
      </c>
      <c r="BB226" s="5"/>
      <c r="BD226" s="5"/>
      <c r="BG226" s="5"/>
    </row>
    <row r="227" spans="1:59">
      <c r="A227" s="12">
        <v>44057</v>
      </c>
      <c r="B227" s="8">
        <v>2630447</v>
      </c>
      <c r="C227" s="8">
        <v>1939990</v>
      </c>
      <c r="D227" s="11">
        <f t="shared" si="52"/>
        <v>4570437</v>
      </c>
      <c r="F227" s="13">
        <v>44421</v>
      </c>
      <c r="K227" s="7">
        <f t="shared" si="53"/>
        <v>0</v>
      </c>
      <c r="M227" s="6">
        <v>44785</v>
      </c>
      <c r="N227" s="5">
        <v>2349070</v>
      </c>
      <c r="O227" s="5">
        <v>970210</v>
      </c>
      <c r="P227" s="5">
        <v>242100</v>
      </c>
      <c r="Q227" s="5">
        <f t="shared" si="19"/>
        <v>3561380</v>
      </c>
      <c r="R227" s="5">
        <v>70620</v>
      </c>
      <c r="S227" s="5">
        <f t="shared" si="49"/>
        <v>3632000</v>
      </c>
      <c r="U227" s="6">
        <v>45149</v>
      </c>
      <c r="V227" s="8">
        <v>3764721</v>
      </c>
      <c r="W227" s="8">
        <v>560370</v>
      </c>
      <c r="X227" s="8">
        <v>339480</v>
      </c>
      <c r="Y227" s="26">
        <f t="shared" si="54"/>
        <v>4664571</v>
      </c>
      <c r="Z227" s="8">
        <v>582460</v>
      </c>
      <c r="AA227" s="8">
        <v>0</v>
      </c>
      <c r="AB227" s="26">
        <f t="shared" si="51"/>
        <v>5247031</v>
      </c>
      <c r="AD227" s="6">
        <v>45514</v>
      </c>
      <c r="AE227" s="8">
        <v>2954590</v>
      </c>
      <c r="AF227" s="8">
        <v>521060</v>
      </c>
      <c r="AG227" s="8">
        <v>210440</v>
      </c>
      <c r="AH227" s="5">
        <f t="shared" si="50"/>
        <v>3686090</v>
      </c>
      <c r="AI227" s="8">
        <v>387230</v>
      </c>
      <c r="AJ227" s="8">
        <v>0</v>
      </c>
      <c r="AK227" s="5">
        <f t="shared" si="56"/>
        <v>4073320</v>
      </c>
      <c r="AM227" s="6">
        <v>45880</v>
      </c>
      <c r="AN227" s="8">
        <v>14314221</v>
      </c>
      <c r="AO227" s="8">
        <v>1444600</v>
      </c>
      <c r="AP227" s="8">
        <v>573120</v>
      </c>
      <c r="AQ227" s="5">
        <f t="shared" si="60"/>
        <v>16331941</v>
      </c>
      <c r="AR227" s="8">
        <v>1438340</v>
      </c>
      <c r="AS227" s="5">
        <v>31700</v>
      </c>
      <c r="AT227" s="8">
        <f t="shared" si="55"/>
        <v>1470040</v>
      </c>
      <c r="AV227" s="5">
        <f t="shared" si="58"/>
        <v>17801981</v>
      </c>
      <c r="AX227" s="6">
        <v>46246</v>
      </c>
      <c r="BB227" s="5"/>
      <c r="BD227" s="5"/>
      <c r="BG227" s="5"/>
    </row>
    <row r="228" spans="1:59">
      <c r="A228" s="12">
        <v>44058</v>
      </c>
      <c r="B228" s="8">
        <v>2135290</v>
      </c>
      <c r="C228" s="8">
        <v>1863360</v>
      </c>
      <c r="D228" s="11">
        <f t="shared" si="52"/>
        <v>3998650</v>
      </c>
      <c r="F228" s="13">
        <v>44422</v>
      </c>
      <c r="K228" s="7">
        <f t="shared" si="53"/>
        <v>0</v>
      </c>
      <c r="M228" s="6">
        <v>44786</v>
      </c>
      <c r="N228" s="5">
        <v>2157842</v>
      </c>
      <c r="O228" s="5">
        <v>965740</v>
      </c>
      <c r="P228" s="5">
        <v>332110</v>
      </c>
      <c r="Q228" s="5">
        <f t="shared" si="19"/>
        <v>3455692</v>
      </c>
      <c r="R228" s="5">
        <v>36600</v>
      </c>
      <c r="S228" s="5">
        <f t="shared" si="49"/>
        <v>3492292</v>
      </c>
      <c r="U228" s="6">
        <v>45150</v>
      </c>
      <c r="V228" s="8">
        <v>2594840</v>
      </c>
      <c r="W228" s="8">
        <v>613090</v>
      </c>
      <c r="X228" s="8">
        <v>347020</v>
      </c>
      <c r="Y228" s="26">
        <f t="shared" si="54"/>
        <v>3554950</v>
      </c>
      <c r="Z228" s="8">
        <v>354160</v>
      </c>
      <c r="AA228" s="8">
        <v>0</v>
      </c>
      <c r="AB228" s="26">
        <f t="shared" si="51"/>
        <v>3909110</v>
      </c>
      <c r="AD228" s="6">
        <v>45515</v>
      </c>
      <c r="AE228" s="8">
        <v>3898276</v>
      </c>
      <c r="AF228" s="8">
        <v>1217920</v>
      </c>
      <c r="AG228" s="8">
        <v>517100</v>
      </c>
      <c r="AH228" s="5">
        <f t="shared" si="50"/>
        <v>5633296</v>
      </c>
      <c r="AI228" s="8">
        <v>1022450</v>
      </c>
      <c r="AJ228" s="8">
        <v>0</v>
      </c>
      <c r="AK228" s="5">
        <f t="shared" si="56"/>
        <v>6655746</v>
      </c>
      <c r="AM228" s="6">
        <v>45881</v>
      </c>
      <c r="AN228" s="8">
        <v>26268170</v>
      </c>
      <c r="AO228" s="8">
        <v>3896460</v>
      </c>
      <c r="AP228" s="8">
        <v>157500</v>
      </c>
      <c r="AQ228" s="5">
        <f t="shared" si="60"/>
        <v>30322130</v>
      </c>
      <c r="AR228" s="8">
        <v>1612640</v>
      </c>
      <c r="AS228" s="5">
        <v>31700</v>
      </c>
      <c r="AT228" s="8">
        <f t="shared" si="55"/>
        <v>1644340</v>
      </c>
      <c r="AV228" s="5">
        <f t="shared" si="58"/>
        <v>31966470</v>
      </c>
      <c r="AX228" s="6">
        <v>46247</v>
      </c>
      <c r="BB228" s="5"/>
      <c r="BD228" s="5"/>
      <c r="BG228" s="5"/>
    </row>
    <row r="229" spans="1:59">
      <c r="A229" s="12">
        <v>44059</v>
      </c>
      <c r="B229" s="8">
        <v>2617276</v>
      </c>
      <c r="C229" s="8">
        <v>2273660</v>
      </c>
      <c r="D229" s="11">
        <f t="shared" si="52"/>
        <v>4890936</v>
      </c>
      <c r="F229" s="13">
        <v>44423</v>
      </c>
      <c r="G229" s="5">
        <v>1868137</v>
      </c>
      <c r="H229" s="5">
        <v>1019494</v>
      </c>
      <c r="I229" s="8">
        <v>165260</v>
      </c>
      <c r="K229" s="7">
        <f t="shared" si="53"/>
        <v>3052891</v>
      </c>
      <c r="M229" s="6">
        <v>44787</v>
      </c>
      <c r="N229" s="5">
        <v>2211488</v>
      </c>
      <c r="O229" s="5">
        <v>712850</v>
      </c>
      <c r="P229" s="5">
        <v>319700</v>
      </c>
      <c r="Q229" s="5">
        <f t="shared" si="19"/>
        <v>3244038</v>
      </c>
      <c r="R229" s="5">
        <v>139770</v>
      </c>
      <c r="S229" s="5">
        <f t="shared" si="49"/>
        <v>3383808</v>
      </c>
      <c r="U229" s="6">
        <v>45151</v>
      </c>
      <c r="V229" s="8">
        <v>3337000</v>
      </c>
      <c r="W229" s="8">
        <v>1038650</v>
      </c>
      <c r="X229" s="8">
        <v>458660</v>
      </c>
      <c r="Y229" s="26">
        <f t="shared" si="54"/>
        <v>4834310</v>
      </c>
      <c r="Z229" s="8">
        <v>360460</v>
      </c>
      <c r="AA229" s="8">
        <v>0</v>
      </c>
      <c r="AB229" s="26">
        <f t="shared" si="51"/>
        <v>5194770</v>
      </c>
      <c r="AD229" s="6">
        <v>45516</v>
      </c>
      <c r="AE229" s="8">
        <v>6533295</v>
      </c>
      <c r="AF229" s="8">
        <v>1648870</v>
      </c>
      <c r="AG229" s="8">
        <v>138000</v>
      </c>
      <c r="AH229" s="5">
        <f t="shared" si="50"/>
        <v>8320165</v>
      </c>
      <c r="AI229" s="8">
        <v>1447020</v>
      </c>
      <c r="AJ229" s="8">
        <v>0</v>
      </c>
      <c r="AK229" s="5">
        <f t="shared" si="56"/>
        <v>9767185</v>
      </c>
      <c r="AM229" s="6">
        <v>45882</v>
      </c>
      <c r="AN229" s="8">
        <v>7740465</v>
      </c>
      <c r="AO229" s="8">
        <v>2585270</v>
      </c>
      <c r="AP229" s="8">
        <v>135180</v>
      </c>
      <c r="AQ229" s="5">
        <f t="shared" si="60"/>
        <v>10460915</v>
      </c>
      <c r="AR229" s="8">
        <v>1462120</v>
      </c>
      <c r="AS229" s="5">
        <v>48000</v>
      </c>
      <c r="AT229" s="8">
        <f t="shared" si="55"/>
        <v>1510120</v>
      </c>
      <c r="AV229" s="5">
        <f t="shared" si="58"/>
        <v>11971035</v>
      </c>
      <c r="AX229" s="6">
        <v>46248</v>
      </c>
      <c r="BB229" s="5"/>
      <c r="BD229" s="5"/>
      <c r="BG229" s="5"/>
    </row>
    <row r="230" spans="1:59">
      <c r="A230" s="12">
        <v>44060</v>
      </c>
      <c r="B230" s="8">
        <v>5203583</v>
      </c>
      <c r="C230" s="8">
        <v>3089410</v>
      </c>
      <c r="D230" s="11">
        <f t="shared" si="52"/>
        <v>8292993</v>
      </c>
      <c r="F230" s="13">
        <v>44424</v>
      </c>
      <c r="G230" s="5">
        <v>1948930</v>
      </c>
      <c r="H230" s="5">
        <v>1002139</v>
      </c>
      <c r="I230" s="8">
        <v>202980</v>
      </c>
      <c r="K230" s="7">
        <f t="shared" si="53"/>
        <v>3154049</v>
      </c>
      <c r="M230" s="6">
        <v>44788</v>
      </c>
      <c r="N230" s="5">
        <v>3494196</v>
      </c>
      <c r="O230" s="5">
        <v>1291700</v>
      </c>
      <c r="P230" s="5">
        <v>321130</v>
      </c>
      <c r="Q230" s="5">
        <f t="shared" si="19"/>
        <v>5107026</v>
      </c>
      <c r="R230" s="5">
        <v>15930</v>
      </c>
      <c r="S230" s="5">
        <f t="shared" si="49"/>
        <v>5122956</v>
      </c>
      <c r="U230" s="6">
        <v>45152</v>
      </c>
      <c r="V230" s="8">
        <v>3430201</v>
      </c>
      <c r="W230" s="8">
        <v>618630</v>
      </c>
      <c r="X230" s="8">
        <v>295420</v>
      </c>
      <c r="Y230" s="26">
        <f t="shared" si="54"/>
        <v>4344251</v>
      </c>
      <c r="Z230" s="8">
        <v>330150</v>
      </c>
      <c r="AA230" s="8">
        <v>0</v>
      </c>
      <c r="AB230" s="26">
        <f t="shared" si="51"/>
        <v>4674401</v>
      </c>
      <c r="AD230" s="6">
        <v>45517</v>
      </c>
      <c r="AE230" s="8">
        <v>6116706</v>
      </c>
      <c r="AF230" s="8">
        <v>1677320</v>
      </c>
      <c r="AG230" s="8">
        <v>113010</v>
      </c>
      <c r="AH230" s="5">
        <f t="shared" si="50"/>
        <v>7907036</v>
      </c>
      <c r="AI230" s="8">
        <v>837260</v>
      </c>
      <c r="AJ230" s="8">
        <v>0</v>
      </c>
      <c r="AK230" s="5">
        <f t="shared" si="56"/>
        <v>8744296</v>
      </c>
      <c r="AM230" s="6">
        <v>45883</v>
      </c>
      <c r="AN230" s="8">
        <v>5676558</v>
      </c>
      <c r="AO230" s="8">
        <v>2399140</v>
      </c>
      <c r="AP230" s="27">
        <v>310000</v>
      </c>
      <c r="AQ230" s="5">
        <f t="shared" si="60"/>
        <v>8385698</v>
      </c>
      <c r="AR230" s="8">
        <v>873390</v>
      </c>
      <c r="AS230" s="5">
        <v>0</v>
      </c>
      <c r="AT230" s="8">
        <f t="shared" si="55"/>
        <v>873390</v>
      </c>
      <c r="AV230" s="5">
        <f t="shared" si="58"/>
        <v>9259088</v>
      </c>
      <c r="AX230" s="6">
        <v>46249</v>
      </c>
      <c r="BA230" s="27"/>
      <c r="BB230" s="5"/>
      <c r="BD230" s="5"/>
      <c r="BG230" s="5"/>
    </row>
    <row r="231" spans="1:59">
      <c r="A231" s="12">
        <v>44061</v>
      </c>
      <c r="B231" s="8">
        <v>5749895</v>
      </c>
      <c r="C231" s="8">
        <v>4531380</v>
      </c>
      <c r="D231" s="11">
        <f t="shared" si="52"/>
        <v>10281275</v>
      </c>
      <c r="F231" s="13">
        <v>44425</v>
      </c>
      <c r="G231" s="5">
        <v>16087109</v>
      </c>
      <c r="H231" s="5">
        <v>2776897</v>
      </c>
      <c r="I231" s="8">
        <v>694150</v>
      </c>
      <c r="K231" s="7">
        <f t="shared" si="53"/>
        <v>19558156</v>
      </c>
      <c r="M231" s="6">
        <v>44789</v>
      </c>
      <c r="N231" s="5">
        <v>3959533</v>
      </c>
      <c r="O231" s="5">
        <v>1639270</v>
      </c>
      <c r="P231" s="5">
        <v>268610</v>
      </c>
      <c r="Q231" s="5">
        <f t="shared" si="19"/>
        <v>5867413</v>
      </c>
      <c r="R231" s="5">
        <v>36600</v>
      </c>
      <c r="S231" s="5">
        <f t="shared" si="49"/>
        <v>5904013</v>
      </c>
      <c r="U231" s="6">
        <v>45153</v>
      </c>
      <c r="V231" s="8">
        <v>14275799</v>
      </c>
      <c r="W231" s="8">
        <v>1701320</v>
      </c>
      <c r="X231" s="8">
        <v>474270</v>
      </c>
      <c r="Y231" s="26">
        <f t="shared" si="54"/>
        <v>16451389</v>
      </c>
      <c r="Z231" s="8">
        <v>1768296</v>
      </c>
      <c r="AA231" s="8">
        <v>0</v>
      </c>
      <c r="AB231" s="26">
        <f t="shared" si="51"/>
        <v>18219685</v>
      </c>
      <c r="AD231" s="6">
        <v>45518</v>
      </c>
      <c r="AE231" s="8">
        <v>3879226</v>
      </c>
      <c r="AF231" s="8">
        <v>1504410</v>
      </c>
      <c r="AG231" s="8">
        <v>263220</v>
      </c>
      <c r="AH231" s="5">
        <f t="shared" si="50"/>
        <v>5646856</v>
      </c>
      <c r="AI231" s="8">
        <v>802460</v>
      </c>
      <c r="AJ231" s="8">
        <v>0</v>
      </c>
      <c r="AK231" s="5">
        <f t="shared" si="56"/>
        <v>6449316</v>
      </c>
      <c r="AM231" s="6">
        <v>45884</v>
      </c>
      <c r="AN231" s="8">
        <v>3813314</v>
      </c>
      <c r="AO231" s="8">
        <v>1078670</v>
      </c>
      <c r="AP231" s="8">
        <v>332490</v>
      </c>
      <c r="AQ231" s="5">
        <f t="shared" si="60"/>
        <v>5224474</v>
      </c>
      <c r="AR231" s="8">
        <v>1070200</v>
      </c>
      <c r="AS231" s="5">
        <v>48000</v>
      </c>
      <c r="AT231" s="8">
        <f t="shared" si="55"/>
        <v>1118200</v>
      </c>
      <c r="AV231" s="5">
        <f t="shared" si="58"/>
        <v>6342674</v>
      </c>
      <c r="AX231" s="6">
        <v>46250</v>
      </c>
      <c r="BB231" s="5"/>
      <c r="BD231" s="5"/>
      <c r="BG231" s="5"/>
    </row>
    <row r="232" spans="1:59">
      <c r="A232" s="12">
        <v>44062</v>
      </c>
      <c r="B232" s="8">
        <v>6909518</v>
      </c>
      <c r="C232" s="8">
        <v>4211160</v>
      </c>
      <c r="D232" s="11">
        <f t="shared" si="52"/>
        <v>11120678</v>
      </c>
      <c r="F232" s="13">
        <v>44426</v>
      </c>
      <c r="G232" s="5">
        <v>17278315</v>
      </c>
      <c r="H232" s="5">
        <v>2019590</v>
      </c>
      <c r="I232" s="8">
        <v>0</v>
      </c>
      <c r="K232" s="7">
        <f t="shared" si="53"/>
        <v>19297905</v>
      </c>
      <c r="M232" s="6">
        <v>44790</v>
      </c>
      <c r="N232" s="5">
        <v>13821591</v>
      </c>
      <c r="O232" s="5">
        <v>1572140</v>
      </c>
      <c r="P232" s="5">
        <v>388810</v>
      </c>
      <c r="Q232" s="5">
        <f t="shared" si="19"/>
        <v>15782541</v>
      </c>
      <c r="R232" s="5">
        <v>146910</v>
      </c>
      <c r="S232" s="5">
        <f t="shared" si="49"/>
        <v>15929451</v>
      </c>
      <c r="U232" s="6">
        <v>45154</v>
      </c>
      <c r="V232" s="8">
        <v>5500335</v>
      </c>
      <c r="W232" s="8">
        <v>2219540</v>
      </c>
      <c r="X232" s="8">
        <v>367210</v>
      </c>
      <c r="Y232" s="26">
        <f t="shared" si="54"/>
        <v>8087085</v>
      </c>
      <c r="Z232" s="8">
        <v>1141688</v>
      </c>
      <c r="AA232" s="8">
        <v>0</v>
      </c>
      <c r="AB232" s="26">
        <f t="shared" si="51"/>
        <v>9228773</v>
      </c>
      <c r="AD232" s="6">
        <v>45519</v>
      </c>
      <c r="AE232" s="8">
        <v>4838433</v>
      </c>
      <c r="AF232" s="8">
        <v>991240</v>
      </c>
      <c r="AG232" s="8">
        <v>212710</v>
      </c>
      <c r="AH232" s="5">
        <f t="shared" si="50"/>
        <v>6042383</v>
      </c>
      <c r="AI232" s="8">
        <v>1723270</v>
      </c>
      <c r="AJ232" s="8">
        <v>0</v>
      </c>
      <c r="AK232" s="5">
        <f t="shared" si="56"/>
        <v>7765653</v>
      </c>
      <c r="AM232" s="6">
        <v>45885</v>
      </c>
      <c r="AN232" s="8">
        <v>3568188</v>
      </c>
      <c r="AO232" s="8">
        <v>1673690</v>
      </c>
      <c r="AP232" s="8">
        <v>201710</v>
      </c>
      <c r="AQ232" s="5">
        <f t="shared" si="60"/>
        <v>5443588</v>
      </c>
      <c r="AR232" s="8">
        <v>838700</v>
      </c>
      <c r="AS232" s="5">
        <v>56200</v>
      </c>
      <c r="AT232" s="8">
        <f t="shared" si="55"/>
        <v>894900</v>
      </c>
      <c r="AV232" s="5">
        <f t="shared" si="58"/>
        <v>6338488</v>
      </c>
      <c r="AX232" s="6">
        <v>46251</v>
      </c>
      <c r="BB232" s="5"/>
      <c r="BD232" s="5"/>
      <c r="BG232" s="5"/>
    </row>
    <row r="233" spans="1:59">
      <c r="A233" s="12">
        <v>44063</v>
      </c>
      <c r="B233" s="8">
        <v>6873212</v>
      </c>
      <c r="C233" s="8">
        <v>4506550</v>
      </c>
      <c r="D233" s="11">
        <f t="shared" si="52"/>
        <v>11379762</v>
      </c>
      <c r="F233" s="13">
        <v>44427</v>
      </c>
      <c r="G233" s="5">
        <v>13246719</v>
      </c>
      <c r="H233" s="5">
        <v>1359560</v>
      </c>
      <c r="I233" s="8">
        <v>250950</v>
      </c>
      <c r="K233" s="7">
        <f t="shared" si="53"/>
        <v>14857229</v>
      </c>
      <c r="M233" s="6">
        <v>44791</v>
      </c>
      <c r="N233" s="5">
        <v>10925710</v>
      </c>
      <c r="O233" s="5">
        <v>2157480</v>
      </c>
      <c r="P233" s="5">
        <v>344190</v>
      </c>
      <c r="Q233" s="5">
        <f t="shared" si="19"/>
        <v>13427380</v>
      </c>
      <c r="R233" s="5">
        <v>72630</v>
      </c>
      <c r="S233" s="5">
        <f t="shared" si="49"/>
        <v>13500010</v>
      </c>
      <c r="U233" s="6">
        <v>45155</v>
      </c>
      <c r="V233" s="8">
        <v>6672277</v>
      </c>
      <c r="W233" s="8">
        <v>2014585</v>
      </c>
      <c r="X233" s="8">
        <v>365070</v>
      </c>
      <c r="Y233" s="26">
        <f t="shared" si="54"/>
        <v>9051932</v>
      </c>
      <c r="Z233" s="8">
        <v>1077380</v>
      </c>
      <c r="AA233" s="8">
        <v>0</v>
      </c>
      <c r="AB233" s="26">
        <f t="shared" si="51"/>
        <v>10129312</v>
      </c>
      <c r="AD233" s="6">
        <v>45520</v>
      </c>
      <c r="AE233" s="8">
        <v>7475108</v>
      </c>
      <c r="AF233" s="8">
        <v>2419030</v>
      </c>
      <c r="AG233" s="8">
        <v>414600</v>
      </c>
      <c r="AH233" s="5">
        <f t="shared" si="50"/>
        <v>10308738</v>
      </c>
      <c r="AI233" s="8">
        <v>1176270</v>
      </c>
      <c r="AJ233" s="8">
        <v>0</v>
      </c>
      <c r="AK233" s="5">
        <f t="shared" si="56"/>
        <v>11485008</v>
      </c>
      <c r="AM233" s="6">
        <v>45886</v>
      </c>
      <c r="AN233" s="8">
        <v>6763289</v>
      </c>
      <c r="AO233" s="8">
        <v>1413110</v>
      </c>
      <c r="AP233" s="8">
        <v>432010</v>
      </c>
      <c r="AQ233" s="5">
        <f t="shared" si="60"/>
        <v>8608409</v>
      </c>
      <c r="AR233" s="8">
        <v>1161670</v>
      </c>
      <c r="AS233" s="5">
        <v>56200</v>
      </c>
      <c r="AT233" s="8">
        <f t="shared" si="55"/>
        <v>1217870</v>
      </c>
      <c r="AV233" s="5">
        <f t="shared" si="58"/>
        <v>9826279</v>
      </c>
      <c r="AX233" s="6">
        <v>46252</v>
      </c>
      <c r="BB233" s="5"/>
      <c r="BD233" s="5"/>
      <c r="BG233" s="5"/>
    </row>
    <row r="234" spans="1:59">
      <c r="A234" s="12">
        <v>44064</v>
      </c>
      <c r="B234" s="8">
        <v>5943864</v>
      </c>
      <c r="C234" s="8">
        <v>3838470</v>
      </c>
      <c r="D234" s="11">
        <f t="shared" si="52"/>
        <v>9782334</v>
      </c>
      <c r="F234" s="13">
        <v>44428</v>
      </c>
      <c r="G234" s="5">
        <v>11195554</v>
      </c>
      <c r="H234" s="5">
        <v>651760</v>
      </c>
      <c r="I234" s="8">
        <v>157020</v>
      </c>
      <c r="K234" s="7">
        <f t="shared" si="53"/>
        <v>12004334</v>
      </c>
      <c r="M234" s="6">
        <v>44792</v>
      </c>
      <c r="N234" s="5">
        <v>6645256</v>
      </c>
      <c r="O234" s="5">
        <v>2359180</v>
      </c>
      <c r="P234" s="5">
        <v>95940</v>
      </c>
      <c r="Q234" s="5">
        <f t="shared" si="19"/>
        <v>9100376</v>
      </c>
      <c r="R234" s="5">
        <v>100260</v>
      </c>
      <c r="S234" s="5">
        <f t="shared" si="49"/>
        <v>9200636</v>
      </c>
      <c r="U234" s="6">
        <v>45156</v>
      </c>
      <c r="V234" s="8">
        <v>6056329</v>
      </c>
      <c r="W234" s="8">
        <v>1873950</v>
      </c>
      <c r="X234" s="8">
        <v>397500</v>
      </c>
      <c r="Y234" s="26">
        <f t="shared" si="54"/>
        <v>8327779</v>
      </c>
      <c r="Z234" s="8">
        <v>513190</v>
      </c>
      <c r="AA234" s="8">
        <v>0</v>
      </c>
      <c r="AB234" s="26">
        <f t="shared" si="51"/>
        <v>8840969</v>
      </c>
      <c r="AD234" s="6">
        <v>45521</v>
      </c>
      <c r="AE234" s="8">
        <v>1471702</v>
      </c>
      <c r="AF234" s="8">
        <v>258580</v>
      </c>
      <c r="AG234" s="8">
        <v>69800</v>
      </c>
      <c r="AH234" s="5">
        <f t="shared" ref="AH234:AH297" si="61">SUM(AE234:AG234)</f>
        <v>1800082</v>
      </c>
      <c r="AI234" s="8">
        <v>572270</v>
      </c>
      <c r="AJ234" s="8">
        <v>0</v>
      </c>
      <c r="AK234" s="5">
        <f t="shared" si="56"/>
        <v>2372352</v>
      </c>
      <c r="AM234" s="6">
        <v>45887</v>
      </c>
      <c r="AN234" s="8">
        <v>13958761</v>
      </c>
      <c r="AO234" s="8">
        <v>2716600</v>
      </c>
      <c r="AP234" s="8">
        <v>333130</v>
      </c>
      <c r="AQ234" s="5">
        <f t="shared" si="60"/>
        <v>17008491</v>
      </c>
      <c r="AR234" s="8">
        <v>1682940</v>
      </c>
      <c r="AS234" s="5">
        <v>94800</v>
      </c>
      <c r="AT234" s="8">
        <f t="shared" si="55"/>
        <v>1777740</v>
      </c>
      <c r="AV234" s="5">
        <f t="shared" si="58"/>
        <v>18786231</v>
      </c>
      <c r="AX234" s="6">
        <v>46253</v>
      </c>
      <c r="BB234" s="5"/>
      <c r="BD234" s="5"/>
      <c r="BG234" s="5"/>
    </row>
    <row r="235" spans="1:59">
      <c r="A235" s="12">
        <v>44065</v>
      </c>
      <c r="B235" s="8">
        <v>5764569</v>
      </c>
      <c r="C235" s="8">
        <v>2185690</v>
      </c>
      <c r="D235" s="11">
        <f t="shared" si="52"/>
        <v>7950259</v>
      </c>
      <c r="F235" s="13">
        <v>44429</v>
      </c>
      <c r="G235" s="5">
        <v>1054256</v>
      </c>
      <c r="H235" s="5">
        <v>779240</v>
      </c>
      <c r="I235" s="8">
        <v>216700</v>
      </c>
      <c r="K235" s="7">
        <f t="shared" si="53"/>
        <v>2050196</v>
      </c>
      <c r="M235" s="6">
        <v>44793</v>
      </c>
      <c r="N235" s="5">
        <v>2825090</v>
      </c>
      <c r="O235" s="5">
        <v>685890</v>
      </c>
      <c r="P235" s="5">
        <v>126160</v>
      </c>
      <c r="Q235" s="5">
        <f t="shared" si="19"/>
        <v>3637140</v>
      </c>
      <c r="R235" s="5">
        <v>51330</v>
      </c>
      <c r="S235" s="5">
        <f t="shared" si="49"/>
        <v>3688470</v>
      </c>
      <c r="U235" s="6">
        <v>45157</v>
      </c>
      <c r="V235" s="8">
        <v>1997042</v>
      </c>
      <c r="W235" s="8">
        <v>1258550</v>
      </c>
      <c r="X235" s="8">
        <v>151570</v>
      </c>
      <c r="Y235" s="26">
        <f t="shared" si="54"/>
        <v>3407162</v>
      </c>
      <c r="Z235" s="8">
        <v>438770</v>
      </c>
      <c r="AA235" s="8">
        <v>0</v>
      </c>
      <c r="AB235" s="26">
        <f t="shared" si="51"/>
        <v>3845932</v>
      </c>
      <c r="AD235" s="6">
        <v>45522</v>
      </c>
      <c r="AE235" s="8">
        <v>364464</v>
      </c>
      <c r="AF235" s="8">
        <v>539220</v>
      </c>
      <c r="AG235" s="8">
        <v>320970</v>
      </c>
      <c r="AH235" s="5">
        <f t="shared" si="61"/>
        <v>1224654</v>
      </c>
      <c r="AI235" s="8">
        <v>1071040</v>
      </c>
      <c r="AJ235" s="8">
        <v>0</v>
      </c>
      <c r="AK235" s="5">
        <f t="shared" si="56"/>
        <v>2295694</v>
      </c>
      <c r="AM235" s="6">
        <v>45888</v>
      </c>
      <c r="AN235" s="8">
        <v>8425842</v>
      </c>
      <c r="AO235" s="8">
        <v>2894470</v>
      </c>
      <c r="AP235" s="8">
        <v>0</v>
      </c>
      <c r="AQ235" s="5">
        <f t="shared" si="60"/>
        <v>11320312</v>
      </c>
      <c r="AR235" s="8">
        <v>843780</v>
      </c>
      <c r="AS235" s="5">
        <v>31700</v>
      </c>
      <c r="AT235" s="8">
        <f t="shared" si="55"/>
        <v>875480</v>
      </c>
      <c r="AV235" s="5">
        <f t="shared" si="58"/>
        <v>12195792</v>
      </c>
      <c r="AX235" s="6">
        <v>46254</v>
      </c>
      <c r="BB235" s="5"/>
      <c r="BD235" s="5"/>
      <c r="BG235" s="5"/>
    </row>
    <row r="236" spans="1:59">
      <c r="A236" s="12">
        <v>44066</v>
      </c>
      <c r="B236" s="8">
        <v>3613128</v>
      </c>
      <c r="C236" s="8">
        <v>2762540</v>
      </c>
      <c r="D236" s="11">
        <f t="shared" si="52"/>
        <v>6375668</v>
      </c>
      <c r="F236" s="13">
        <v>44430</v>
      </c>
      <c r="G236" s="5">
        <v>2524442</v>
      </c>
      <c r="H236" s="5">
        <v>521850</v>
      </c>
      <c r="I236" s="8">
        <v>130880</v>
      </c>
      <c r="K236" s="7">
        <f t="shared" si="53"/>
        <v>3177172</v>
      </c>
      <c r="M236" s="6">
        <v>44794</v>
      </c>
      <c r="N236" s="5">
        <v>2151624</v>
      </c>
      <c r="O236" s="5">
        <v>1520030</v>
      </c>
      <c r="P236" s="5">
        <v>226160</v>
      </c>
      <c r="Q236" s="5">
        <f t="shared" si="19"/>
        <v>3897814</v>
      </c>
      <c r="R236" s="5">
        <v>34830</v>
      </c>
      <c r="S236" s="5">
        <f t="shared" si="49"/>
        <v>3932644</v>
      </c>
      <c r="U236" s="6">
        <v>45158</v>
      </c>
      <c r="V236" s="8">
        <v>2420652</v>
      </c>
      <c r="W236" s="8">
        <v>1095470</v>
      </c>
      <c r="X236" s="8">
        <v>225300</v>
      </c>
      <c r="Y236" s="26">
        <f t="shared" si="54"/>
        <v>3741422</v>
      </c>
      <c r="Z236" s="8">
        <v>454280</v>
      </c>
      <c r="AA236" s="8">
        <v>0</v>
      </c>
      <c r="AB236" s="26">
        <f t="shared" si="51"/>
        <v>4195702</v>
      </c>
      <c r="AD236" s="6">
        <v>45523</v>
      </c>
      <c r="AE236" s="8">
        <v>13348896</v>
      </c>
      <c r="AF236" s="8">
        <v>3436050</v>
      </c>
      <c r="AG236" s="8">
        <v>538160</v>
      </c>
      <c r="AH236" s="5">
        <f t="shared" si="61"/>
        <v>17323106</v>
      </c>
      <c r="AI236" s="8">
        <v>829560</v>
      </c>
      <c r="AJ236" s="8">
        <v>0</v>
      </c>
      <c r="AK236" s="5">
        <f t="shared" si="56"/>
        <v>18152666</v>
      </c>
      <c r="AM236" s="6">
        <v>45889</v>
      </c>
      <c r="AN236" s="8">
        <v>2427801</v>
      </c>
      <c r="AO236" s="8">
        <v>373430</v>
      </c>
      <c r="AP236" s="8">
        <v>0</v>
      </c>
      <c r="AQ236" s="5">
        <f t="shared" si="60"/>
        <v>2801231</v>
      </c>
      <c r="AR236" s="8">
        <v>1480060</v>
      </c>
      <c r="AS236" s="5">
        <v>40800</v>
      </c>
      <c r="AT236" s="8">
        <f t="shared" si="55"/>
        <v>1520860</v>
      </c>
      <c r="AV236" s="5">
        <f t="shared" si="58"/>
        <v>4322091</v>
      </c>
      <c r="AX236" s="6">
        <v>46255</v>
      </c>
      <c r="BB236" s="5"/>
      <c r="BD236" s="5"/>
      <c r="BG236" s="5"/>
    </row>
    <row r="237" spans="1:59">
      <c r="A237" s="12">
        <v>44067</v>
      </c>
      <c r="B237" s="8">
        <v>10528482</v>
      </c>
      <c r="C237" s="8">
        <v>1586670</v>
      </c>
      <c r="D237" s="11">
        <f t="shared" si="52"/>
        <v>12115152</v>
      </c>
      <c r="F237" s="13">
        <v>44431</v>
      </c>
      <c r="G237" s="5">
        <v>14866253</v>
      </c>
      <c r="H237" s="5">
        <v>1329870</v>
      </c>
      <c r="I237" s="8">
        <v>264440</v>
      </c>
      <c r="K237" s="7">
        <f t="shared" si="53"/>
        <v>16460563</v>
      </c>
      <c r="M237" s="6">
        <v>44795</v>
      </c>
      <c r="N237" s="5">
        <v>4789633</v>
      </c>
      <c r="O237" s="5">
        <v>2056210</v>
      </c>
      <c r="P237" s="5">
        <v>305140</v>
      </c>
      <c r="Q237" s="5">
        <f t="shared" si="19"/>
        <v>7150983</v>
      </c>
      <c r="R237" s="5">
        <v>163990</v>
      </c>
      <c r="S237" s="5">
        <f t="shared" si="49"/>
        <v>7314973</v>
      </c>
      <c r="U237" s="6">
        <v>45159</v>
      </c>
      <c r="V237" s="8">
        <v>6435938</v>
      </c>
      <c r="W237" s="8">
        <v>2290220</v>
      </c>
      <c r="X237" s="8">
        <v>489330</v>
      </c>
      <c r="Y237" s="26">
        <f t="shared" si="54"/>
        <v>9215488</v>
      </c>
      <c r="Z237" s="8">
        <v>1139710</v>
      </c>
      <c r="AA237" s="8">
        <v>0</v>
      </c>
      <c r="AB237" s="26">
        <f t="shared" si="51"/>
        <v>10355198</v>
      </c>
      <c r="AD237" s="6">
        <v>45524</v>
      </c>
      <c r="AE237" s="8">
        <v>12353825</v>
      </c>
      <c r="AF237" s="8">
        <v>3747090</v>
      </c>
      <c r="AG237" s="8">
        <v>476830</v>
      </c>
      <c r="AH237" s="5">
        <f t="shared" si="61"/>
        <v>16577745</v>
      </c>
      <c r="AI237" s="8">
        <v>1337022</v>
      </c>
      <c r="AJ237" s="8">
        <v>0</v>
      </c>
      <c r="AK237" s="5">
        <f t="shared" si="56"/>
        <v>17914767</v>
      </c>
      <c r="AM237" s="6">
        <v>45890</v>
      </c>
      <c r="AN237" s="8">
        <v>42400</v>
      </c>
      <c r="AO237" s="8">
        <v>0</v>
      </c>
      <c r="AP237" s="8">
        <v>0</v>
      </c>
      <c r="AQ237" s="5">
        <f t="shared" si="60"/>
        <v>42400</v>
      </c>
      <c r="AR237" s="8">
        <v>1631070</v>
      </c>
      <c r="AS237" s="5">
        <v>56200</v>
      </c>
      <c r="AT237" s="8">
        <f t="shared" si="55"/>
        <v>1687270</v>
      </c>
      <c r="AV237" s="5">
        <f t="shared" si="58"/>
        <v>1729670</v>
      </c>
      <c r="AX237" s="6">
        <v>46256</v>
      </c>
      <c r="BB237" s="5"/>
      <c r="BD237" s="5"/>
      <c r="BG237" s="5"/>
    </row>
    <row r="238" spans="1:59">
      <c r="A238" s="12">
        <v>44068</v>
      </c>
      <c r="B238" s="8">
        <v>13299126</v>
      </c>
      <c r="C238" s="8">
        <v>2729860</v>
      </c>
      <c r="D238" s="11">
        <f t="shared" si="52"/>
        <v>16028986</v>
      </c>
      <c r="F238" s="13">
        <v>44432</v>
      </c>
      <c r="G238" s="5">
        <v>15982725</v>
      </c>
      <c r="H238" s="5">
        <v>1146210</v>
      </c>
      <c r="I238" s="8">
        <v>575510</v>
      </c>
      <c r="K238" s="7">
        <f t="shared" si="53"/>
        <v>17704445</v>
      </c>
      <c r="M238" s="6">
        <v>44796</v>
      </c>
      <c r="N238" s="5">
        <v>7209017</v>
      </c>
      <c r="O238" s="5">
        <v>2805620</v>
      </c>
      <c r="P238" s="5">
        <v>608990</v>
      </c>
      <c r="Q238" s="5">
        <f t="shared" si="19"/>
        <v>10623627</v>
      </c>
      <c r="R238" s="5">
        <v>156590</v>
      </c>
      <c r="S238" s="5">
        <f t="shared" si="49"/>
        <v>10780217</v>
      </c>
      <c r="U238" s="6">
        <v>45160</v>
      </c>
      <c r="V238" s="8">
        <v>6845767</v>
      </c>
      <c r="W238" s="8">
        <v>2810330</v>
      </c>
      <c r="X238" s="8">
        <v>459120</v>
      </c>
      <c r="Y238" s="26">
        <f t="shared" si="54"/>
        <v>10115217</v>
      </c>
      <c r="Z238" s="8">
        <v>1272650</v>
      </c>
      <c r="AA238" s="8">
        <v>0</v>
      </c>
      <c r="AB238" s="26">
        <f t="shared" si="51"/>
        <v>11387867</v>
      </c>
      <c r="AD238" s="6">
        <v>45525</v>
      </c>
      <c r="AE238" s="8">
        <v>12013658</v>
      </c>
      <c r="AF238" s="8">
        <v>4613110</v>
      </c>
      <c r="AG238" s="8">
        <v>454490</v>
      </c>
      <c r="AH238" s="5">
        <f t="shared" si="61"/>
        <v>17081258</v>
      </c>
      <c r="AI238" s="8">
        <v>560770</v>
      </c>
      <c r="AJ238" s="8">
        <v>0</v>
      </c>
      <c r="AK238" s="5">
        <f t="shared" si="56"/>
        <v>17642028</v>
      </c>
      <c r="AM238" s="37">
        <v>45891</v>
      </c>
      <c r="AN238" s="38"/>
      <c r="AO238" s="38"/>
      <c r="AP238" s="38">
        <v>53324704</v>
      </c>
      <c r="AQ238" s="39">
        <f t="shared" si="60"/>
        <v>53324704</v>
      </c>
      <c r="AR238" s="38">
        <v>52657130</v>
      </c>
      <c r="AS238" s="39">
        <v>16300</v>
      </c>
      <c r="AT238" s="38">
        <f t="shared" si="55"/>
        <v>52673430</v>
      </c>
      <c r="AU238" s="38"/>
      <c r="AV238" s="39">
        <f t="shared" si="58"/>
        <v>105998134</v>
      </c>
      <c r="AX238" s="6">
        <v>46257</v>
      </c>
      <c r="BB238" s="7"/>
      <c r="BD238" s="7"/>
      <c r="BG238" s="7"/>
    </row>
    <row r="239" spans="1:59">
      <c r="A239" s="12">
        <v>44069</v>
      </c>
      <c r="B239" s="8">
        <v>13652019</v>
      </c>
      <c r="C239" s="8">
        <v>4171520</v>
      </c>
      <c r="D239" s="11">
        <f t="shared" si="52"/>
        <v>17823539</v>
      </c>
      <c r="F239" s="13">
        <v>44433</v>
      </c>
      <c r="G239" s="5">
        <v>17150391</v>
      </c>
      <c r="H239" s="5">
        <v>1124650</v>
      </c>
      <c r="I239" s="8">
        <v>475700</v>
      </c>
      <c r="K239" s="7">
        <f t="shared" si="53"/>
        <v>18750741</v>
      </c>
      <c r="M239" s="6">
        <v>44797</v>
      </c>
      <c r="N239" s="5">
        <v>7480781</v>
      </c>
      <c r="O239" s="5">
        <v>3020600</v>
      </c>
      <c r="P239" s="5">
        <v>335430</v>
      </c>
      <c r="Q239" s="5">
        <f t="shared" si="19"/>
        <v>10836811</v>
      </c>
      <c r="R239" s="5">
        <v>154320</v>
      </c>
      <c r="S239" s="5">
        <f t="shared" si="49"/>
        <v>10991131</v>
      </c>
      <c r="U239" s="6">
        <v>45161</v>
      </c>
      <c r="V239" s="8">
        <v>8213868</v>
      </c>
      <c r="W239" s="27">
        <v>2185830</v>
      </c>
      <c r="X239" s="8">
        <v>384200</v>
      </c>
      <c r="Y239" s="26">
        <f t="shared" si="54"/>
        <v>10783898</v>
      </c>
      <c r="Z239" s="8">
        <v>1820721</v>
      </c>
      <c r="AA239" s="8">
        <v>0</v>
      </c>
      <c r="AB239" s="26">
        <f t="shared" si="51"/>
        <v>12604619</v>
      </c>
      <c r="AD239" s="6">
        <v>45526</v>
      </c>
      <c r="AE239" s="8">
        <v>11904068</v>
      </c>
      <c r="AF239" s="27">
        <v>2325370</v>
      </c>
      <c r="AG239" s="8">
        <v>287700</v>
      </c>
      <c r="AH239" s="5">
        <f t="shared" si="61"/>
        <v>14517138</v>
      </c>
      <c r="AI239" s="8">
        <v>1484680</v>
      </c>
      <c r="AJ239" s="8">
        <v>0</v>
      </c>
      <c r="AK239" s="5">
        <f t="shared" si="56"/>
        <v>16001818</v>
      </c>
      <c r="AM239" s="37">
        <v>45892</v>
      </c>
      <c r="AN239" s="38"/>
      <c r="AO239" s="40"/>
      <c r="AP239" s="38">
        <v>35925249</v>
      </c>
      <c r="AQ239" s="39">
        <f t="shared" si="60"/>
        <v>35925249</v>
      </c>
      <c r="AR239" s="38"/>
      <c r="AS239" s="39">
        <v>63100</v>
      </c>
      <c r="AT239" s="38">
        <f t="shared" si="55"/>
        <v>63100</v>
      </c>
      <c r="AU239" s="38"/>
      <c r="AV239" s="39">
        <f t="shared" si="58"/>
        <v>35988349</v>
      </c>
      <c r="AX239" s="6">
        <v>46258</v>
      </c>
      <c r="AZ239" s="27"/>
      <c r="BB239" s="7"/>
      <c r="BD239" s="7"/>
      <c r="BG239" s="7"/>
    </row>
    <row r="240" spans="1:59">
      <c r="A240" s="12">
        <v>44070</v>
      </c>
      <c r="B240" s="8">
        <v>12878419</v>
      </c>
      <c r="C240" s="8">
        <v>3980710</v>
      </c>
      <c r="D240" s="11">
        <f t="shared" si="52"/>
        <v>16859129</v>
      </c>
      <c r="F240" s="13">
        <v>44434</v>
      </c>
      <c r="G240" s="5">
        <v>28545358</v>
      </c>
      <c r="H240" s="5">
        <v>890780</v>
      </c>
      <c r="I240" s="8">
        <v>219920</v>
      </c>
      <c r="K240" s="7">
        <f t="shared" si="53"/>
        <v>29656058</v>
      </c>
      <c r="M240" s="6">
        <v>44798</v>
      </c>
      <c r="N240" s="5">
        <v>8024782</v>
      </c>
      <c r="O240" s="5">
        <v>2210490</v>
      </c>
      <c r="P240" s="5">
        <v>592520</v>
      </c>
      <c r="Q240" s="5">
        <f t="shared" si="19"/>
        <v>10827792</v>
      </c>
      <c r="R240" s="5">
        <v>59420</v>
      </c>
      <c r="S240" s="5">
        <f t="shared" si="49"/>
        <v>10887212</v>
      </c>
      <c r="U240" s="6">
        <v>45162</v>
      </c>
      <c r="V240" s="8">
        <v>6584809</v>
      </c>
      <c r="W240" s="8">
        <v>3151160</v>
      </c>
      <c r="X240" s="8">
        <v>499480</v>
      </c>
      <c r="Y240" s="26">
        <f t="shared" si="54"/>
        <v>10235449</v>
      </c>
      <c r="Z240" s="8">
        <v>448360</v>
      </c>
      <c r="AA240" s="8">
        <v>0</v>
      </c>
      <c r="AB240" s="26">
        <f t="shared" si="51"/>
        <v>10683809</v>
      </c>
      <c r="AD240" s="6">
        <v>45527</v>
      </c>
      <c r="AE240" s="8">
        <v>7268170</v>
      </c>
      <c r="AF240" s="8">
        <v>1919229</v>
      </c>
      <c r="AG240" s="8">
        <v>259480</v>
      </c>
      <c r="AH240" s="5">
        <f t="shared" si="61"/>
        <v>9446879</v>
      </c>
      <c r="AI240" s="8">
        <v>1140740</v>
      </c>
      <c r="AJ240" s="8">
        <v>0</v>
      </c>
      <c r="AK240" s="5">
        <f t="shared" si="56"/>
        <v>10587619</v>
      </c>
      <c r="AM240" s="37">
        <v>45893</v>
      </c>
      <c r="AN240" s="38"/>
      <c r="AO240" s="38"/>
      <c r="AP240" s="38">
        <v>36859910</v>
      </c>
      <c r="AQ240" s="39">
        <f t="shared" si="60"/>
        <v>36859910</v>
      </c>
      <c r="AR240" s="38"/>
      <c r="AS240" s="39">
        <v>31700</v>
      </c>
      <c r="AT240" s="38">
        <f t="shared" si="55"/>
        <v>31700</v>
      </c>
      <c r="AU240" s="38"/>
      <c r="AV240" s="39">
        <f t="shared" si="58"/>
        <v>36891610</v>
      </c>
      <c r="AX240" s="6">
        <v>46259</v>
      </c>
      <c r="BB240" s="7"/>
      <c r="BD240" s="7"/>
      <c r="BG240" s="7"/>
    </row>
    <row r="241" spans="1:59">
      <c r="A241" s="12">
        <v>44071</v>
      </c>
      <c r="B241" s="8">
        <v>9394448</v>
      </c>
      <c r="C241" s="8">
        <v>3995670</v>
      </c>
      <c r="D241" s="11">
        <f t="shared" si="52"/>
        <v>13390118</v>
      </c>
      <c r="F241" s="13">
        <v>44435</v>
      </c>
      <c r="G241" s="5">
        <v>2481147</v>
      </c>
      <c r="H241" s="5">
        <v>861119</v>
      </c>
      <c r="I241" s="8">
        <v>300070</v>
      </c>
      <c r="K241" s="7">
        <f t="shared" si="53"/>
        <v>3642336</v>
      </c>
      <c r="M241" s="6">
        <v>44799</v>
      </c>
      <c r="N241" s="5">
        <v>4015936</v>
      </c>
      <c r="O241" s="5">
        <v>1865640</v>
      </c>
      <c r="P241" s="5">
        <v>197200</v>
      </c>
      <c r="Q241" s="5">
        <f t="shared" si="19"/>
        <v>6078776</v>
      </c>
      <c r="R241" s="5">
        <v>98490</v>
      </c>
      <c r="S241" s="5">
        <f t="shared" si="49"/>
        <v>6177266</v>
      </c>
      <c r="U241" s="6">
        <v>45163</v>
      </c>
      <c r="V241" s="8">
        <v>6894093</v>
      </c>
      <c r="W241" s="8">
        <v>2192300</v>
      </c>
      <c r="X241" s="8">
        <v>432390</v>
      </c>
      <c r="Y241" s="26">
        <f t="shared" si="54"/>
        <v>9518783</v>
      </c>
      <c r="Z241" s="8">
        <v>625300</v>
      </c>
      <c r="AA241" s="8">
        <v>0</v>
      </c>
      <c r="AB241" s="26">
        <f t="shared" si="51"/>
        <v>10144083</v>
      </c>
      <c r="AD241" s="6">
        <v>45528</v>
      </c>
      <c r="AE241" s="8">
        <v>713849</v>
      </c>
      <c r="AF241" s="8">
        <v>375510</v>
      </c>
      <c r="AG241" s="8">
        <v>191610</v>
      </c>
      <c r="AH241" s="5">
        <f t="shared" si="61"/>
        <v>1280969</v>
      </c>
      <c r="AI241" s="8">
        <v>434090</v>
      </c>
      <c r="AJ241" s="8">
        <v>0</v>
      </c>
      <c r="AK241" s="5">
        <f t="shared" si="56"/>
        <v>1715059</v>
      </c>
      <c r="AM241" s="37">
        <v>45894</v>
      </c>
      <c r="AN241" s="38"/>
      <c r="AO241" s="38"/>
      <c r="AP241" s="38">
        <v>44392909</v>
      </c>
      <c r="AQ241" s="39">
        <f t="shared" si="60"/>
        <v>44392909</v>
      </c>
      <c r="AR241" s="38"/>
      <c r="AS241" s="39">
        <v>48000</v>
      </c>
      <c r="AT241" s="38">
        <f t="shared" si="55"/>
        <v>48000</v>
      </c>
      <c r="AU241" s="38"/>
      <c r="AV241" s="39">
        <f t="shared" si="58"/>
        <v>44440909</v>
      </c>
      <c r="AX241" s="6">
        <v>46260</v>
      </c>
      <c r="BB241" s="7"/>
      <c r="BD241" s="7"/>
      <c r="BG241" s="7"/>
    </row>
    <row r="242" spans="1:59">
      <c r="A242" s="12">
        <v>44072</v>
      </c>
      <c r="B242" s="8">
        <v>2781470</v>
      </c>
      <c r="C242" s="8">
        <v>1061540</v>
      </c>
      <c r="D242" s="11">
        <f t="shared" si="52"/>
        <v>3843010</v>
      </c>
      <c r="F242" s="13">
        <v>44436</v>
      </c>
      <c r="G242" s="5">
        <v>905187</v>
      </c>
      <c r="H242" s="5">
        <v>548150</v>
      </c>
      <c r="I242" s="8">
        <v>177620</v>
      </c>
      <c r="K242" s="7">
        <f t="shared" si="53"/>
        <v>1630957</v>
      </c>
      <c r="M242" s="6">
        <v>44800</v>
      </c>
      <c r="N242" s="5">
        <v>2231967</v>
      </c>
      <c r="O242" s="5">
        <v>1042850</v>
      </c>
      <c r="P242" s="5">
        <v>264280</v>
      </c>
      <c r="Q242" s="5">
        <f t="shared" si="19"/>
        <v>3539097</v>
      </c>
      <c r="R242" s="5">
        <v>33630</v>
      </c>
      <c r="S242" s="5">
        <f t="shared" si="49"/>
        <v>3572727</v>
      </c>
      <c r="U242" s="6">
        <v>45164</v>
      </c>
      <c r="V242" s="8">
        <v>6894093</v>
      </c>
      <c r="W242" s="8">
        <v>2192300</v>
      </c>
      <c r="X242" s="8">
        <v>112260</v>
      </c>
      <c r="Y242" s="26">
        <f t="shared" si="54"/>
        <v>9198653</v>
      </c>
      <c r="Z242" s="8">
        <v>377220</v>
      </c>
      <c r="AA242" s="8">
        <v>0</v>
      </c>
      <c r="AB242" s="26">
        <f t="shared" si="51"/>
        <v>9575873</v>
      </c>
      <c r="AD242" s="6">
        <v>45529</v>
      </c>
      <c r="AE242" s="8">
        <v>1313726</v>
      </c>
      <c r="AF242" s="8">
        <v>455280</v>
      </c>
      <c r="AG242" s="8">
        <v>231850</v>
      </c>
      <c r="AH242" s="5">
        <f t="shared" si="61"/>
        <v>2000856</v>
      </c>
      <c r="AI242" s="8">
        <v>329310</v>
      </c>
      <c r="AJ242" s="8">
        <v>0</v>
      </c>
      <c r="AK242" s="5">
        <f t="shared" si="56"/>
        <v>2330166</v>
      </c>
      <c r="AM242" s="37">
        <v>45895</v>
      </c>
      <c r="AN242" s="38"/>
      <c r="AO242" s="38"/>
      <c r="AP242" s="38">
        <v>19409090</v>
      </c>
      <c r="AQ242" s="39">
        <f t="shared" si="60"/>
        <v>19409090</v>
      </c>
      <c r="AR242" s="38"/>
      <c r="AS242" s="39">
        <v>72500</v>
      </c>
      <c r="AT242" s="38">
        <f t="shared" si="55"/>
        <v>72500</v>
      </c>
      <c r="AU242" s="38"/>
      <c r="AV242" s="39">
        <f t="shared" si="58"/>
        <v>19481590</v>
      </c>
      <c r="AX242" s="6">
        <v>46261</v>
      </c>
      <c r="BB242" s="7"/>
      <c r="BD242" s="7"/>
      <c r="BG242" s="7"/>
    </row>
    <row r="243" spans="1:59">
      <c r="A243" s="12">
        <v>44073</v>
      </c>
      <c r="B243" s="8">
        <v>6160944</v>
      </c>
      <c r="C243" s="8">
        <v>2800870</v>
      </c>
      <c r="D243" s="11">
        <f t="shared" si="52"/>
        <v>8961814</v>
      </c>
      <c r="F243" s="13">
        <v>44437</v>
      </c>
      <c r="G243" s="5">
        <v>1141280</v>
      </c>
      <c r="H243" s="5">
        <v>861939</v>
      </c>
      <c r="I243" s="8">
        <v>365990</v>
      </c>
      <c r="K243" s="7">
        <f t="shared" si="53"/>
        <v>2369209</v>
      </c>
      <c r="M243" s="6">
        <v>44801</v>
      </c>
      <c r="N243" s="5">
        <v>2730616</v>
      </c>
      <c r="O243" s="5">
        <v>1234140</v>
      </c>
      <c r="P243" s="5">
        <v>134400</v>
      </c>
      <c r="Q243" s="5">
        <f t="shared" si="19"/>
        <v>4099156</v>
      </c>
      <c r="R243" s="5">
        <v>71430</v>
      </c>
      <c r="S243" s="5">
        <f t="shared" si="49"/>
        <v>4170586</v>
      </c>
      <c r="U243" s="6">
        <v>45165</v>
      </c>
      <c r="V243" s="8">
        <v>2615539</v>
      </c>
      <c r="W243" s="8">
        <v>1606370</v>
      </c>
      <c r="X243" s="8">
        <v>239680</v>
      </c>
      <c r="Y243" s="26">
        <f t="shared" si="54"/>
        <v>4461589</v>
      </c>
      <c r="Z243" s="8">
        <v>474280</v>
      </c>
      <c r="AA243" s="8">
        <v>0</v>
      </c>
      <c r="AB243" s="26">
        <f t="shared" si="51"/>
        <v>4935869</v>
      </c>
      <c r="AD243" s="6">
        <v>45530</v>
      </c>
      <c r="AE243" s="8">
        <v>12136286</v>
      </c>
      <c r="AF243" s="8">
        <v>3199850</v>
      </c>
      <c r="AG243" s="8">
        <v>307700</v>
      </c>
      <c r="AH243" s="5">
        <f t="shared" si="61"/>
        <v>15643836</v>
      </c>
      <c r="AI243" s="8">
        <v>830180</v>
      </c>
      <c r="AJ243" s="8">
        <v>0</v>
      </c>
      <c r="AK243" s="5">
        <f t="shared" si="56"/>
        <v>16474016</v>
      </c>
      <c r="AM243" s="37">
        <v>45896</v>
      </c>
      <c r="AN243" s="38"/>
      <c r="AO243" s="38"/>
      <c r="AP243" s="38">
        <v>22586472</v>
      </c>
      <c r="AQ243" s="39">
        <f t="shared" si="60"/>
        <v>22586472</v>
      </c>
      <c r="AR243" s="38"/>
      <c r="AS243" s="39">
        <v>135900</v>
      </c>
      <c r="AT243" s="38">
        <f t="shared" si="55"/>
        <v>135900</v>
      </c>
      <c r="AU243" s="38"/>
      <c r="AV243" s="39">
        <f t="shared" si="58"/>
        <v>22722372</v>
      </c>
      <c r="AX243" s="6">
        <v>46262</v>
      </c>
      <c r="BB243" s="7"/>
      <c r="BD243" s="7"/>
      <c r="BG243" s="7"/>
    </row>
    <row r="244" spans="1:59">
      <c r="A244" s="12">
        <v>44074</v>
      </c>
      <c r="B244" s="8">
        <v>5485414</v>
      </c>
      <c r="C244" s="8">
        <v>3908550</v>
      </c>
      <c r="D244" s="11">
        <f t="shared" si="52"/>
        <v>9393964</v>
      </c>
      <c r="F244" s="13">
        <v>44438</v>
      </c>
      <c r="G244" s="5">
        <v>4020279</v>
      </c>
      <c r="H244" s="5">
        <v>1325287</v>
      </c>
      <c r="I244" s="8">
        <v>495470</v>
      </c>
      <c r="K244" s="7">
        <f t="shared" si="53"/>
        <v>5841036</v>
      </c>
      <c r="M244" s="6">
        <v>44802</v>
      </c>
      <c r="N244" s="5">
        <v>7772196</v>
      </c>
      <c r="O244" s="5">
        <v>2683200</v>
      </c>
      <c r="P244" s="5">
        <v>529150</v>
      </c>
      <c r="Q244" s="5">
        <f t="shared" si="19"/>
        <v>10984546</v>
      </c>
      <c r="R244" s="5">
        <v>194070</v>
      </c>
      <c r="S244" s="5">
        <f t="shared" si="49"/>
        <v>11178616</v>
      </c>
      <c r="U244" s="6">
        <v>45166</v>
      </c>
      <c r="V244" s="8">
        <v>6647038</v>
      </c>
      <c r="W244" s="8">
        <v>2043210</v>
      </c>
      <c r="X244" s="8">
        <v>602920</v>
      </c>
      <c r="Y244" s="26">
        <f t="shared" si="54"/>
        <v>9293168</v>
      </c>
      <c r="Z244" s="8">
        <v>1082920</v>
      </c>
      <c r="AA244" s="8">
        <v>0</v>
      </c>
      <c r="AB244" s="26">
        <f t="shared" si="51"/>
        <v>10376088</v>
      </c>
      <c r="AD244" s="6">
        <v>45531</v>
      </c>
      <c r="AE244" s="8">
        <v>615693</v>
      </c>
      <c r="AF244" s="8">
        <v>252230</v>
      </c>
      <c r="AG244" s="8">
        <v>368330</v>
      </c>
      <c r="AH244" s="5">
        <f t="shared" si="61"/>
        <v>1236253</v>
      </c>
      <c r="AI244" s="8">
        <v>941710</v>
      </c>
      <c r="AJ244" s="8">
        <v>0</v>
      </c>
      <c r="AK244" s="5">
        <f t="shared" si="56"/>
        <v>2177963</v>
      </c>
      <c r="AM244" s="37">
        <v>45897</v>
      </c>
      <c r="AN244" s="38"/>
      <c r="AO244" s="38"/>
      <c r="AP244" s="38">
        <v>8166490</v>
      </c>
      <c r="AQ244" s="39">
        <f t="shared" si="60"/>
        <v>8166490</v>
      </c>
      <c r="AR244" s="38">
        <v>3868460</v>
      </c>
      <c r="AS244" s="39">
        <v>72500</v>
      </c>
      <c r="AT244" s="38">
        <f t="shared" si="55"/>
        <v>3940960</v>
      </c>
      <c r="AU244" s="38"/>
      <c r="AV244" s="39">
        <f t="shared" si="58"/>
        <v>12107450</v>
      </c>
      <c r="AX244" s="6">
        <v>46263</v>
      </c>
      <c r="BB244" s="7"/>
      <c r="BD244" s="7"/>
      <c r="BG244" s="7"/>
    </row>
    <row r="245" spans="1:59">
      <c r="A245" s="12">
        <v>44075</v>
      </c>
      <c r="B245" s="8">
        <v>13564276</v>
      </c>
      <c r="C245" s="8">
        <v>6730680</v>
      </c>
      <c r="D245" s="11">
        <f t="shared" si="52"/>
        <v>20294956</v>
      </c>
      <c r="F245" s="13">
        <v>44439</v>
      </c>
      <c r="G245" s="5">
        <v>12738330</v>
      </c>
      <c r="H245" s="5">
        <v>2206719</v>
      </c>
      <c r="I245" s="8">
        <v>530870</v>
      </c>
      <c r="K245" s="7">
        <f t="shared" si="53"/>
        <v>15475919</v>
      </c>
      <c r="M245" s="6">
        <v>44803</v>
      </c>
      <c r="N245" s="5">
        <v>9816669</v>
      </c>
      <c r="O245" s="5">
        <v>3149560</v>
      </c>
      <c r="P245" s="5">
        <v>738060</v>
      </c>
      <c r="Q245" s="5">
        <f t="shared" si="19"/>
        <v>13704289</v>
      </c>
      <c r="R245" s="5">
        <v>176380</v>
      </c>
      <c r="S245" s="5">
        <f t="shared" si="49"/>
        <v>13880669</v>
      </c>
      <c r="U245" s="6">
        <v>45167</v>
      </c>
      <c r="V245" s="8">
        <v>11068588</v>
      </c>
      <c r="W245" s="8">
        <v>3804410</v>
      </c>
      <c r="X245" s="8">
        <v>618400</v>
      </c>
      <c r="Y245" s="26">
        <f t="shared" si="54"/>
        <v>15491398</v>
      </c>
      <c r="Z245" s="8">
        <v>1040900</v>
      </c>
      <c r="AA245" s="8">
        <v>0</v>
      </c>
      <c r="AB245" s="26">
        <f t="shared" si="51"/>
        <v>16532298</v>
      </c>
      <c r="AD245" s="6">
        <v>45532</v>
      </c>
      <c r="AE245" s="8">
        <v>0</v>
      </c>
      <c r="AF245" s="8">
        <v>0</v>
      </c>
      <c r="AG245" s="8">
        <v>93010</v>
      </c>
      <c r="AH245" s="5">
        <f t="shared" si="61"/>
        <v>93010</v>
      </c>
      <c r="AI245" s="8">
        <v>1499500</v>
      </c>
      <c r="AJ245" s="8">
        <v>0</v>
      </c>
      <c r="AK245" s="5">
        <f t="shared" si="56"/>
        <v>1592510</v>
      </c>
      <c r="AM245" s="6">
        <v>45898</v>
      </c>
      <c r="AN245" s="8">
        <v>26569419</v>
      </c>
      <c r="AO245" s="8">
        <v>0</v>
      </c>
      <c r="AP245" s="8">
        <v>0</v>
      </c>
      <c r="AQ245" s="5">
        <f t="shared" si="60"/>
        <v>26569419</v>
      </c>
      <c r="AR245" s="8">
        <v>3364680</v>
      </c>
      <c r="AS245" s="5">
        <v>48000</v>
      </c>
      <c r="AT245" s="8">
        <f t="shared" si="55"/>
        <v>3412680</v>
      </c>
      <c r="AV245" s="7">
        <f t="shared" si="58"/>
        <v>29982099</v>
      </c>
      <c r="AX245" s="6">
        <v>46264</v>
      </c>
      <c r="BB245" s="5"/>
      <c r="BD245" s="5"/>
      <c r="BG245" s="7"/>
    </row>
    <row r="246" spans="1:59">
      <c r="A246" s="13">
        <v>44076</v>
      </c>
      <c r="B246" s="11">
        <v>14771846</v>
      </c>
      <c r="C246" s="11">
        <v>6840790</v>
      </c>
      <c r="D246" s="11">
        <f t="shared" si="52"/>
        <v>21612636</v>
      </c>
      <c r="F246" s="13">
        <v>44440</v>
      </c>
      <c r="G246" s="5">
        <v>12841968</v>
      </c>
      <c r="H246" s="5">
        <v>2309510</v>
      </c>
      <c r="I246" s="8">
        <v>342430</v>
      </c>
      <c r="J246" s="8">
        <v>0</v>
      </c>
      <c r="K246" s="7">
        <f>SUM(G246:J246)</f>
        <v>15493908</v>
      </c>
      <c r="M246" s="6">
        <v>44804</v>
      </c>
      <c r="N246" s="5">
        <v>9972741</v>
      </c>
      <c r="O246" s="5">
        <v>3665810</v>
      </c>
      <c r="P246" s="5">
        <v>643770</v>
      </c>
      <c r="Q246" s="5">
        <f t="shared" si="19"/>
        <v>14282321</v>
      </c>
      <c r="R246" s="5">
        <v>126120</v>
      </c>
      <c r="S246" s="5">
        <f t="shared" si="49"/>
        <v>14408441</v>
      </c>
      <c r="U246" s="6">
        <v>45168</v>
      </c>
      <c r="V246" s="8">
        <v>11700498</v>
      </c>
      <c r="W246" s="8">
        <v>2915170</v>
      </c>
      <c r="X246" s="8">
        <v>581020</v>
      </c>
      <c r="Y246" s="26">
        <f t="shared" si="54"/>
        <v>15196688</v>
      </c>
      <c r="Z246" s="8">
        <v>808700</v>
      </c>
      <c r="AA246" s="8">
        <v>0</v>
      </c>
      <c r="AB246" s="26">
        <f t="shared" si="51"/>
        <v>16005388</v>
      </c>
      <c r="AD246" s="6">
        <v>45533</v>
      </c>
      <c r="AE246" s="8">
        <v>0</v>
      </c>
      <c r="AF246" s="8">
        <v>0</v>
      </c>
      <c r="AG246" s="8">
        <v>0</v>
      </c>
      <c r="AH246" s="5">
        <f t="shared" si="61"/>
        <v>0</v>
      </c>
      <c r="AI246" s="8">
        <v>810260</v>
      </c>
      <c r="AJ246" s="8">
        <v>0</v>
      </c>
      <c r="AK246" s="5">
        <f t="shared" si="56"/>
        <v>810260</v>
      </c>
      <c r="AM246" s="6">
        <v>45899</v>
      </c>
      <c r="AN246" s="8">
        <v>6903499</v>
      </c>
      <c r="AO246" s="8">
        <v>0</v>
      </c>
      <c r="AP246" s="8">
        <v>0</v>
      </c>
      <c r="AQ246" s="5">
        <f t="shared" si="60"/>
        <v>6903499</v>
      </c>
      <c r="AR246" s="8">
        <v>1896260</v>
      </c>
      <c r="AS246" s="5">
        <v>198700</v>
      </c>
      <c r="AT246" s="8">
        <f t="shared" si="55"/>
        <v>2094960</v>
      </c>
      <c r="AV246" s="7">
        <f t="shared" si="58"/>
        <v>8998459</v>
      </c>
      <c r="AX246" s="6">
        <v>46265</v>
      </c>
      <c r="BB246" s="5"/>
      <c r="BD246" s="5"/>
      <c r="BG246" s="7"/>
    </row>
    <row r="247" spans="1:59">
      <c r="A247" s="13">
        <v>44077</v>
      </c>
      <c r="B247" s="11">
        <v>13255896</v>
      </c>
      <c r="C247" s="11">
        <v>5394990</v>
      </c>
      <c r="D247" s="11">
        <f t="shared" si="52"/>
        <v>18650886</v>
      </c>
      <c r="F247" s="13">
        <v>44441</v>
      </c>
      <c r="G247" s="5">
        <v>10556048</v>
      </c>
      <c r="H247" s="5">
        <v>2055200</v>
      </c>
      <c r="I247" s="8">
        <v>474000</v>
      </c>
      <c r="J247" s="8">
        <v>0</v>
      </c>
      <c r="K247" s="7">
        <f t="shared" ref="K247:K311" si="62">SUM(G247:J247)</f>
        <v>13085248</v>
      </c>
      <c r="M247" s="6">
        <v>44805</v>
      </c>
      <c r="N247" s="5">
        <v>8982901</v>
      </c>
      <c r="O247" s="5">
        <v>2398850</v>
      </c>
      <c r="P247" s="5">
        <v>603430</v>
      </c>
      <c r="Q247" s="5">
        <f t="shared" si="19"/>
        <v>11985181</v>
      </c>
      <c r="R247" s="5">
        <v>189800</v>
      </c>
      <c r="S247" s="5">
        <f t="shared" si="49"/>
        <v>12174981</v>
      </c>
      <c r="U247" s="6">
        <v>45169</v>
      </c>
      <c r="V247" s="8">
        <v>13319750</v>
      </c>
      <c r="W247" s="8">
        <v>3016975</v>
      </c>
      <c r="X247" s="8">
        <v>258640</v>
      </c>
      <c r="Y247" s="26">
        <f t="shared" si="54"/>
        <v>16595365</v>
      </c>
      <c r="Z247" s="8">
        <v>840580</v>
      </c>
      <c r="AA247" s="8">
        <v>0</v>
      </c>
      <c r="AB247" s="26">
        <f t="shared" si="51"/>
        <v>17435945</v>
      </c>
      <c r="AD247" s="6">
        <v>45534</v>
      </c>
      <c r="AE247" s="8">
        <v>0</v>
      </c>
      <c r="AF247" s="8">
        <v>0</v>
      </c>
      <c r="AG247" s="8">
        <v>0</v>
      </c>
      <c r="AH247" s="5">
        <f t="shared" si="61"/>
        <v>0</v>
      </c>
      <c r="AI247" s="8">
        <v>362540</v>
      </c>
      <c r="AJ247" s="8">
        <v>0</v>
      </c>
      <c r="AK247" s="5">
        <f t="shared" si="56"/>
        <v>362540</v>
      </c>
      <c r="AM247" s="6">
        <v>45900</v>
      </c>
      <c r="AN247" s="8">
        <v>6619776</v>
      </c>
      <c r="AO247" s="8">
        <v>0</v>
      </c>
      <c r="AP247" s="8">
        <v>0</v>
      </c>
      <c r="AQ247" s="5">
        <f t="shared" si="60"/>
        <v>6619776</v>
      </c>
      <c r="AR247" s="8">
        <v>2006890</v>
      </c>
      <c r="AS247" s="5">
        <v>31700</v>
      </c>
      <c r="AT247" s="8">
        <f t="shared" si="55"/>
        <v>2038590</v>
      </c>
      <c r="AV247" s="7">
        <f t="shared" si="58"/>
        <v>8658366</v>
      </c>
      <c r="AX247" s="6">
        <v>46266</v>
      </c>
      <c r="BB247" s="5"/>
      <c r="BD247" s="5"/>
      <c r="BG247" s="7"/>
    </row>
    <row r="248" spans="1:59">
      <c r="A248" s="13">
        <v>44078</v>
      </c>
      <c r="B248" s="11">
        <v>7044270</v>
      </c>
      <c r="C248" s="11">
        <v>4394540</v>
      </c>
      <c r="D248" s="11">
        <f t="shared" si="52"/>
        <v>11438810</v>
      </c>
      <c r="F248" s="13">
        <v>44442</v>
      </c>
      <c r="G248" s="5">
        <v>5861985</v>
      </c>
      <c r="H248" s="5">
        <v>1352619</v>
      </c>
      <c r="I248" s="8">
        <v>48800</v>
      </c>
      <c r="J248" s="8">
        <v>0</v>
      </c>
      <c r="K248" s="7">
        <f t="shared" si="62"/>
        <v>7263404</v>
      </c>
      <c r="M248" s="6">
        <v>44806</v>
      </c>
      <c r="N248" s="5">
        <v>7923606</v>
      </c>
      <c r="O248" s="5">
        <v>1662865</v>
      </c>
      <c r="P248" s="5">
        <v>378160</v>
      </c>
      <c r="Q248" s="5">
        <f t="shared" si="19"/>
        <v>9964631</v>
      </c>
      <c r="R248" s="5">
        <v>71310</v>
      </c>
      <c r="S248" s="5">
        <f t="shared" si="49"/>
        <v>10035941</v>
      </c>
      <c r="U248" s="6">
        <v>45170</v>
      </c>
      <c r="V248" s="8">
        <v>11607807</v>
      </c>
      <c r="W248" s="8">
        <v>1242640</v>
      </c>
      <c r="X248" s="8">
        <v>195830</v>
      </c>
      <c r="Y248" s="26">
        <f t="shared" si="54"/>
        <v>13046277</v>
      </c>
      <c r="Z248" s="8">
        <v>738520</v>
      </c>
      <c r="AA248" s="8">
        <v>0</v>
      </c>
      <c r="AB248" s="26">
        <f t="shared" si="51"/>
        <v>13784797</v>
      </c>
      <c r="AD248" s="6">
        <v>45535</v>
      </c>
      <c r="AE248" s="8">
        <v>0</v>
      </c>
      <c r="AF248" s="8">
        <v>0</v>
      </c>
      <c r="AG248" s="8">
        <v>9383980</v>
      </c>
      <c r="AH248" s="5">
        <f t="shared" si="61"/>
        <v>9383980</v>
      </c>
      <c r="AI248" s="8">
        <v>3840420</v>
      </c>
      <c r="AJ248" s="8">
        <v>0</v>
      </c>
      <c r="AK248" s="5">
        <f t="shared" si="56"/>
        <v>13224400</v>
      </c>
      <c r="AM248" s="6">
        <v>45901</v>
      </c>
      <c r="AN248" s="8">
        <v>15412484</v>
      </c>
      <c r="AO248" s="8">
        <v>0</v>
      </c>
      <c r="AP248" s="8">
        <v>0</v>
      </c>
      <c r="AQ248" s="5">
        <f t="shared" si="60"/>
        <v>15412484</v>
      </c>
      <c r="AR248" s="8">
        <v>3436970</v>
      </c>
      <c r="AS248" s="5">
        <v>119300</v>
      </c>
      <c r="AT248" s="8">
        <f t="shared" si="55"/>
        <v>3556270</v>
      </c>
      <c r="AV248" s="5">
        <f t="shared" si="58"/>
        <v>18968754</v>
      </c>
      <c r="AX248" s="6">
        <v>46267</v>
      </c>
      <c r="BB248" s="5"/>
      <c r="BD248" s="5"/>
      <c r="BG248" s="5"/>
    </row>
    <row r="249" spans="1:59">
      <c r="A249" s="13">
        <v>44079</v>
      </c>
      <c r="B249" s="11">
        <v>4220431</v>
      </c>
      <c r="C249" s="11">
        <v>2682800</v>
      </c>
      <c r="D249" s="11">
        <f t="shared" si="52"/>
        <v>6903231</v>
      </c>
      <c r="F249" s="13">
        <v>44443</v>
      </c>
      <c r="G249" s="5">
        <v>3786794</v>
      </c>
      <c r="H249" s="5">
        <v>1165310</v>
      </c>
      <c r="I249" s="8">
        <v>47800</v>
      </c>
      <c r="J249" s="8">
        <v>0</v>
      </c>
      <c r="K249" s="7">
        <f t="shared" si="62"/>
        <v>4999904</v>
      </c>
      <c r="M249" s="6">
        <v>44807</v>
      </c>
      <c r="N249" s="5">
        <v>2503446</v>
      </c>
      <c r="O249" s="5">
        <v>1775980</v>
      </c>
      <c r="P249" s="5">
        <v>331490</v>
      </c>
      <c r="Q249" s="5">
        <f t="shared" si="19"/>
        <v>4610916</v>
      </c>
      <c r="R249" s="5">
        <v>17700</v>
      </c>
      <c r="S249" s="5">
        <f t="shared" si="49"/>
        <v>4628616</v>
      </c>
      <c r="U249" s="6">
        <v>45171</v>
      </c>
      <c r="V249" s="8">
        <v>1431114</v>
      </c>
      <c r="W249" s="8">
        <v>589170</v>
      </c>
      <c r="X249" s="8">
        <v>231560</v>
      </c>
      <c r="Y249" s="26">
        <f t="shared" si="54"/>
        <v>2251844</v>
      </c>
      <c r="Z249" s="8">
        <v>198890</v>
      </c>
      <c r="AA249" s="8">
        <v>0</v>
      </c>
      <c r="AB249" s="26">
        <f t="shared" si="51"/>
        <v>2450734</v>
      </c>
      <c r="AD249" s="6">
        <v>45536</v>
      </c>
      <c r="AE249" s="8">
        <v>0</v>
      </c>
      <c r="AF249" s="8">
        <v>0</v>
      </c>
      <c r="AG249" s="8">
        <v>11983320</v>
      </c>
      <c r="AH249" s="5">
        <f t="shared" si="61"/>
        <v>11983320</v>
      </c>
      <c r="AI249" s="8">
        <v>3938480</v>
      </c>
      <c r="AJ249" s="8">
        <v>0</v>
      </c>
      <c r="AK249" s="5">
        <f t="shared" si="56"/>
        <v>15921800</v>
      </c>
      <c r="AM249" s="6">
        <v>45902</v>
      </c>
      <c r="AN249" s="8">
        <v>8988374</v>
      </c>
      <c r="AO249" s="8">
        <v>0</v>
      </c>
      <c r="AP249" s="8">
        <v>0</v>
      </c>
      <c r="AQ249" s="5">
        <f t="shared" si="60"/>
        <v>8988374</v>
      </c>
      <c r="AR249" s="8">
        <v>3352072</v>
      </c>
      <c r="AS249" s="5">
        <v>31700</v>
      </c>
      <c r="AT249" s="8">
        <f t="shared" si="55"/>
        <v>3383772</v>
      </c>
      <c r="AV249" s="5">
        <f t="shared" si="58"/>
        <v>12372146</v>
      </c>
      <c r="AX249" s="6">
        <v>46268</v>
      </c>
      <c r="BB249" s="5"/>
      <c r="BD249" s="5"/>
      <c r="BG249" s="5"/>
    </row>
    <row r="250" spans="1:59">
      <c r="A250" s="13">
        <v>44080</v>
      </c>
      <c r="B250" s="11">
        <v>4087435</v>
      </c>
      <c r="C250" s="11">
        <v>2984770</v>
      </c>
      <c r="D250" s="11">
        <f t="shared" si="52"/>
        <v>7072205</v>
      </c>
      <c r="F250" s="13">
        <v>44444</v>
      </c>
      <c r="G250" s="5">
        <v>5563174</v>
      </c>
      <c r="H250" s="5">
        <v>834410</v>
      </c>
      <c r="I250" s="8">
        <v>332830</v>
      </c>
      <c r="J250" s="8">
        <v>0</v>
      </c>
      <c r="K250" s="7">
        <f t="shared" si="62"/>
        <v>6730414</v>
      </c>
      <c r="M250" s="6">
        <v>44808</v>
      </c>
      <c r="N250" s="5">
        <v>2310448</v>
      </c>
      <c r="O250" s="5">
        <v>896860</v>
      </c>
      <c r="P250" s="5">
        <v>188610</v>
      </c>
      <c r="Q250" s="5">
        <f t="shared" si="19"/>
        <v>3395918</v>
      </c>
      <c r="R250" s="5">
        <v>134520</v>
      </c>
      <c r="S250" s="5">
        <f t="shared" si="49"/>
        <v>3530438</v>
      </c>
      <c r="U250" s="6">
        <v>45172</v>
      </c>
      <c r="V250" s="8">
        <v>1462011</v>
      </c>
      <c r="W250" s="8">
        <v>949540</v>
      </c>
      <c r="X250" s="8">
        <v>468070</v>
      </c>
      <c r="Y250" s="26">
        <f t="shared" si="54"/>
        <v>2879621</v>
      </c>
      <c r="Z250" s="8">
        <v>529060</v>
      </c>
      <c r="AA250" s="8">
        <v>0</v>
      </c>
      <c r="AB250" s="26">
        <f t="shared" si="51"/>
        <v>3408681</v>
      </c>
      <c r="AD250" s="6">
        <v>45537</v>
      </c>
      <c r="AE250" s="8">
        <v>21714372</v>
      </c>
      <c r="AF250" s="8">
        <v>3767800</v>
      </c>
      <c r="AG250" s="8">
        <v>10699340</v>
      </c>
      <c r="AH250" s="5">
        <f t="shared" si="61"/>
        <v>36181512</v>
      </c>
      <c r="AI250" s="8">
        <v>4502130</v>
      </c>
      <c r="AJ250" s="8">
        <v>0</v>
      </c>
      <c r="AK250" s="5">
        <f t="shared" si="56"/>
        <v>40683642</v>
      </c>
      <c r="AM250" s="6">
        <v>45903</v>
      </c>
      <c r="AN250" s="8">
        <v>6794533</v>
      </c>
      <c r="AO250" s="8">
        <v>0</v>
      </c>
      <c r="AP250" s="8">
        <v>0</v>
      </c>
      <c r="AQ250" s="5">
        <f t="shared" si="60"/>
        <v>6794533</v>
      </c>
      <c r="AR250" s="8">
        <v>2431710</v>
      </c>
      <c r="AS250" s="5">
        <v>31700</v>
      </c>
      <c r="AT250" s="8">
        <f t="shared" si="55"/>
        <v>2463410</v>
      </c>
      <c r="AV250" s="5">
        <f t="shared" si="58"/>
        <v>9257943</v>
      </c>
      <c r="AX250" s="6">
        <v>46269</v>
      </c>
      <c r="BB250" s="5"/>
      <c r="BD250" s="5"/>
      <c r="BG250" s="5"/>
    </row>
    <row r="251" spans="1:59">
      <c r="A251" s="13">
        <v>44081</v>
      </c>
      <c r="B251" s="11">
        <v>12880182</v>
      </c>
      <c r="C251" s="11">
        <v>5742010</v>
      </c>
      <c r="D251" s="11">
        <f t="shared" si="52"/>
        <v>18622192</v>
      </c>
      <c r="F251" s="13">
        <v>44445</v>
      </c>
      <c r="G251" s="5">
        <v>11047739</v>
      </c>
      <c r="H251" s="5">
        <v>2272770</v>
      </c>
      <c r="I251" s="8">
        <v>512160</v>
      </c>
      <c r="J251" s="8">
        <v>0</v>
      </c>
      <c r="K251" s="7">
        <f t="shared" si="62"/>
        <v>13832669</v>
      </c>
      <c r="M251" s="6">
        <v>44809</v>
      </c>
      <c r="N251" s="5">
        <v>9916468</v>
      </c>
      <c r="O251" s="5">
        <v>2966650</v>
      </c>
      <c r="P251" s="5">
        <v>233540</v>
      </c>
      <c r="Q251" s="5">
        <f t="shared" si="19"/>
        <v>13116658</v>
      </c>
      <c r="R251" s="5">
        <v>292480</v>
      </c>
      <c r="S251" s="5">
        <f t="shared" si="49"/>
        <v>13409138</v>
      </c>
      <c r="U251" s="6">
        <v>45173</v>
      </c>
      <c r="V251" s="8">
        <v>13748493</v>
      </c>
      <c r="W251" s="8">
        <v>1731870</v>
      </c>
      <c r="X251" s="8">
        <v>411030</v>
      </c>
      <c r="Y251" s="26">
        <f t="shared" si="54"/>
        <v>15891393</v>
      </c>
      <c r="Z251" s="8">
        <v>2345420</v>
      </c>
      <c r="AA251" s="8">
        <v>0</v>
      </c>
      <c r="AB251" s="26">
        <f t="shared" si="51"/>
        <v>18236813</v>
      </c>
      <c r="AD251" s="6">
        <v>45538</v>
      </c>
      <c r="AE251" s="8">
        <v>11418997</v>
      </c>
      <c r="AF251" s="8">
        <v>3731800</v>
      </c>
      <c r="AG251" s="8">
        <v>8039540</v>
      </c>
      <c r="AH251" s="5">
        <f t="shared" si="61"/>
        <v>23190337</v>
      </c>
      <c r="AI251" s="8">
        <v>3153930</v>
      </c>
      <c r="AJ251" s="8">
        <v>0</v>
      </c>
      <c r="AK251" s="5">
        <f t="shared" si="56"/>
        <v>26344267</v>
      </c>
      <c r="AM251" s="6">
        <v>45904</v>
      </c>
      <c r="AN251" s="8">
        <v>5423272</v>
      </c>
      <c r="AO251" s="8">
        <v>0</v>
      </c>
      <c r="AP251" s="8">
        <v>0</v>
      </c>
      <c r="AQ251" s="5">
        <f t="shared" si="60"/>
        <v>5423272</v>
      </c>
      <c r="AR251" s="8">
        <v>2276161</v>
      </c>
      <c r="AS251" s="5">
        <v>31700</v>
      </c>
      <c r="AT251" s="8">
        <f t="shared" si="55"/>
        <v>2307861</v>
      </c>
      <c r="AV251" s="5">
        <f t="shared" si="58"/>
        <v>7731133</v>
      </c>
      <c r="AX251" s="6">
        <v>46270</v>
      </c>
      <c r="BB251" s="5"/>
      <c r="BD251" s="5"/>
      <c r="BG251" s="5"/>
    </row>
    <row r="252" spans="1:59">
      <c r="A252" s="13">
        <v>44082</v>
      </c>
      <c r="B252" s="11">
        <v>12522801</v>
      </c>
      <c r="C252" s="11">
        <v>5975230</v>
      </c>
      <c r="D252" s="11">
        <f t="shared" si="52"/>
        <v>18498031</v>
      </c>
      <c r="F252" s="13">
        <v>44446</v>
      </c>
      <c r="G252" s="5">
        <v>10855533</v>
      </c>
      <c r="H252" s="5">
        <v>2174082</v>
      </c>
      <c r="I252" s="8">
        <v>635020</v>
      </c>
      <c r="J252" s="8">
        <v>0</v>
      </c>
      <c r="K252" s="7">
        <f t="shared" si="62"/>
        <v>13664635</v>
      </c>
      <c r="M252" s="6">
        <v>44810</v>
      </c>
      <c r="N252" s="5">
        <v>5997628</v>
      </c>
      <c r="O252" s="5">
        <v>0</v>
      </c>
      <c r="P252" s="5">
        <v>0</v>
      </c>
      <c r="Q252" s="5">
        <f t="shared" ref="Q252:Q315" si="63">SUM(N252:P252)</f>
        <v>5997628</v>
      </c>
      <c r="R252" s="5">
        <v>102340</v>
      </c>
      <c r="S252" s="5">
        <f t="shared" si="49"/>
        <v>6099968</v>
      </c>
      <c r="U252" s="6">
        <v>45174</v>
      </c>
      <c r="V252" s="8">
        <v>10402693</v>
      </c>
      <c r="W252" s="8">
        <v>1954450</v>
      </c>
      <c r="X252" s="8">
        <v>337020</v>
      </c>
      <c r="Y252" s="26">
        <f t="shared" si="54"/>
        <v>12694163</v>
      </c>
      <c r="Z252" s="8">
        <v>1388120</v>
      </c>
      <c r="AA252" s="8">
        <v>0</v>
      </c>
      <c r="AB252" s="26">
        <f t="shared" si="51"/>
        <v>14082283</v>
      </c>
      <c r="AD252" s="6">
        <v>45539</v>
      </c>
      <c r="AE252" s="8">
        <v>3511963</v>
      </c>
      <c r="AF252" s="8">
        <v>1636100</v>
      </c>
      <c r="AG252" s="8">
        <v>9677460</v>
      </c>
      <c r="AH252" s="5">
        <f t="shared" si="61"/>
        <v>14825523</v>
      </c>
      <c r="AI252" s="8">
        <v>3596690</v>
      </c>
      <c r="AJ252" s="8">
        <v>0</v>
      </c>
      <c r="AK252" s="5">
        <f t="shared" si="56"/>
        <v>18422213</v>
      </c>
      <c r="AM252" s="6">
        <v>45905</v>
      </c>
      <c r="AN252" s="8">
        <v>7296811</v>
      </c>
      <c r="AO252" s="8">
        <v>0</v>
      </c>
      <c r="AP252" s="8">
        <v>0</v>
      </c>
      <c r="AQ252" s="5">
        <f t="shared" si="60"/>
        <v>7296811</v>
      </c>
      <c r="AR252" s="8">
        <v>2697970</v>
      </c>
      <c r="AS252" s="5">
        <v>95100</v>
      </c>
      <c r="AT252" s="8">
        <f t="shared" si="55"/>
        <v>2793070</v>
      </c>
      <c r="AV252" s="5">
        <f t="shared" si="58"/>
        <v>10089881</v>
      </c>
      <c r="AX252" s="6">
        <v>46271</v>
      </c>
      <c r="BB252" s="5"/>
      <c r="BD252" s="5"/>
      <c r="BG252" s="5"/>
    </row>
    <row r="253" spans="1:59">
      <c r="A253" s="13">
        <v>44083</v>
      </c>
      <c r="B253" s="11">
        <v>12393318</v>
      </c>
      <c r="C253" s="11">
        <v>5819895</v>
      </c>
      <c r="D253" s="11">
        <f t="shared" si="52"/>
        <v>18213213</v>
      </c>
      <c r="F253" s="13">
        <v>44447</v>
      </c>
      <c r="G253" s="5">
        <v>8249410</v>
      </c>
      <c r="H253" s="5">
        <v>1398240</v>
      </c>
      <c r="I253" s="8">
        <v>163720</v>
      </c>
      <c r="J253" s="8">
        <v>0</v>
      </c>
      <c r="K253" s="7">
        <f t="shared" si="62"/>
        <v>9811370</v>
      </c>
      <c r="M253" s="6">
        <v>44811</v>
      </c>
      <c r="N253" s="5">
        <v>7483371</v>
      </c>
      <c r="O253" s="5">
        <v>1150430</v>
      </c>
      <c r="P253" s="5">
        <v>148700</v>
      </c>
      <c r="Q253" s="5">
        <f t="shared" si="63"/>
        <v>8782501</v>
      </c>
      <c r="R253" s="5">
        <v>54810</v>
      </c>
      <c r="S253" s="5">
        <f t="shared" si="49"/>
        <v>8837311</v>
      </c>
      <c r="U253" s="6">
        <v>45175</v>
      </c>
      <c r="V253" s="8">
        <v>9339216</v>
      </c>
      <c r="W253" s="8">
        <v>1720150</v>
      </c>
      <c r="X253" s="8">
        <v>431840</v>
      </c>
      <c r="Y253" s="26">
        <f t="shared" si="54"/>
        <v>11491206</v>
      </c>
      <c r="Z253" s="8">
        <v>693161</v>
      </c>
      <c r="AA253" s="8">
        <v>0</v>
      </c>
      <c r="AB253" s="26">
        <f t="shared" si="51"/>
        <v>12184367</v>
      </c>
      <c r="AD253" s="6">
        <v>45540</v>
      </c>
      <c r="AE253" s="8">
        <v>2770766</v>
      </c>
      <c r="AF253" s="8">
        <v>812700</v>
      </c>
      <c r="AG253" s="8">
        <v>14395720</v>
      </c>
      <c r="AH253" s="5">
        <f t="shared" si="61"/>
        <v>17979186</v>
      </c>
      <c r="AI253" s="8">
        <v>3924850</v>
      </c>
      <c r="AJ253" s="8">
        <v>0</v>
      </c>
      <c r="AK253" s="5">
        <f t="shared" si="56"/>
        <v>21904036</v>
      </c>
      <c r="AM253" s="6">
        <v>45906</v>
      </c>
      <c r="AN253" s="8">
        <v>4052976</v>
      </c>
      <c r="AO253" s="8">
        <v>0</v>
      </c>
      <c r="AP253" s="8">
        <v>0</v>
      </c>
      <c r="AQ253" s="5">
        <f t="shared" si="60"/>
        <v>4052976</v>
      </c>
      <c r="AR253" s="8">
        <v>1387190</v>
      </c>
      <c r="AS253" s="5">
        <v>104200</v>
      </c>
      <c r="AT253" s="8">
        <f t="shared" si="55"/>
        <v>1491390</v>
      </c>
      <c r="AV253" s="5">
        <f t="shared" si="58"/>
        <v>5544366</v>
      </c>
      <c r="AX253" s="6">
        <v>46272</v>
      </c>
      <c r="BB253" s="5"/>
      <c r="BD253" s="5"/>
      <c r="BG253" s="5"/>
    </row>
    <row r="254" spans="1:59">
      <c r="A254" s="13">
        <v>44084</v>
      </c>
      <c r="B254" s="11">
        <v>11401866</v>
      </c>
      <c r="C254" s="11">
        <v>6661944</v>
      </c>
      <c r="D254" s="11">
        <f t="shared" si="52"/>
        <v>18063810</v>
      </c>
      <c r="F254" s="13">
        <v>44448</v>
      </c>
      <c r="G254" s="5">
        <v>8648865</v>
      </c>
      <c r="H254" s="5">
        <v>1120104</v>
      </c>
      <c r="I254" s="8">
        <v>450900</v>
      </c>
      <c r="J254" s="8">
        <v>5829250</v>
      </c>
      <c r="K254" s="7">
        <f t="shared" si="62"/>
        <v>16049119</v>
      </c>
      <c r="M254" s="6">
        <v>44812</v>
      </c>
      <c r="N254" s="5">
        <v>1967576</v>
      </c>
      <c r="O254" s="5">
        <v>736870</v>
      </c>
      <c r="P254" s="5">
        <v>77800</v>
      </c>
      <c r="Q254" s="5">
        <f t="shared" si="63"/>
        <v>2782246</v>
      </c>
      <c r="R254" s="5">
        <v>125470</v>
      </c>
      <c r="S254" s="5">
        <f t="shared" si="49"/>
        <v>2907716</v>
      </c>
      <c r="U254" s="6">
        <v>45176</v>
      </c>
      <c r="V254" s="8">
        <v>9908654</v>
      </c>
      <c r="W254" s="8">
        <v>1850310</v>
      </c>
      <c r="X254" s="8">
        <v>437210</v>
      </c>
      <c r="Y254" s="26">
        <f t="shared" si="54"/>
        <v>12196174</v>
      </c>
      <c r="Z254" s="8">
        <v>758570</v>
      </c>
      <c r="AA254" s="8">
        <v>0</v>
      </c>
      <c r="AB254" s="26">
        <f t="shared" si="51"/>
        <v>12954744</v>
      </c>
      <c r="AD254" s="6">
        <v>45541</v>
      </c>
      <c r="AE254" s="8">
        <v>2524389</v>
      </c>
      <c r="AF254" s="8">
        <v>565100</v>
      </c>
      <c r="AG254" s="8">
        <v>13787320</v>
      </c>
      <c r="AH254" s="5">
        <f t="shared" si="61"/>
        <v>16876809</v>
      </c>
      <c r="AI254" s="8">
        <v>4508330</v>
      </c>
      <c r="AJ254" s="8">
        <v>0</v>
      </c>
      <c r="AK254" s="5">
        <f t="shared" si="56"/>
        <v>21385139</v>
      </c>
      <c r="AM254" s="6">
        <v>45907</v>
      </c>
      <c r="AN254" s="8">
        <v>5683643</v>
      </c>
      <c r="AO254" s="8">
        <v>0</v>
      </c>
      <c r="AP254" s="8">
        <v>0</v>
      </c>
      <c r="AQ254" s="5">
        <f t="shared" si="60"/>
        <v>5683643</v>
      </c>
      <c r="AR254" s="8">
        <v>2232420</v>
      </c>
      <c r="AS254" s="5">
        <v>79700</v>
      </c>
      <c r="AT254" s="8">
        <f t="shared" si="55"/>
        <v>2312120</v>
      </c>
      <c r="AV254" s="5">
        <f t="shared" si="58"/>
        <v>7995763</v>
      </c>
      <c r="AX254" s="6">
        <v>46273</v>
      </c>
      <c r="BB254" s="5"/>
      <c r="BD254" s="5"/>
      <c r="BG254" s="5"/>
    </row>
    <row r="255" spans="1:59">
      <c r="A255" s="13">
        <v>44085</v>
      </c>
      <c r="B255" s="11">
        <v>12467468</v>
      </c>
      <c r="C255" s="11">
        <v>4067350</v>
      </c>
      <c r="D255" s="11">
        <f t="shared" si="52"/>
        <v>16534818</v>
      </c>
      <c r="F255" s="13">
        <v>44449</v>
      </c>
      <c r="G255" s="5">
        <v>5264971</v>
      </c>
      <c r="H255" s="5">
        <v>1263830</v>
      </c>
      <c r="I255" s="8">
        <v>253680</v>
      </c>
      <c r="J255" s="8">
        <v>1908740</v>
      </c>
      <c r="K255" s="7">
        <f t="shared" si="62"/>
        <v>8691221</v>
      </c>
      <c r="M255" s="6">
        <v>44813</v>
      </c>
      <c r="N255" s="5">
        <v>900720</v>
      </c>
      <c r="O255" s="5">
        <v>878530</v>
      </c>
      <c r="P255" s="5">
        <v>234380</v>
      </c>
      <c r="Q255" s="5">
        <f t="shared" si="63"/>
        <v>2013630</v>
      </c>
      <c r="R255" s="5">
        <v>0</v>
      </c>
      <c r="S255" s="5">
        <f t="shared" si="49"/>
        <v>2013630</v>
      </c>
      <c r="U255" s="6">
        <v>45177</v>
      </c>
      <c r="V255" s="8">
        <v>5720818</v>
      </c>
      <c r="W255" s="8">
        <v>2471420</v>
      </c>
      <c r="X255" s="8">
        <v>210240</v>
      </c>
      <c r="Y255" s="26">
        <f t="shared" si="54"/>
        <v>8402478</v>
      </c>
      <c r="Z255" s="8">
        <v>916620</v>
      </c>
      <c r="AA255" s="8">
        <v>0</v>
      </c>
      <c r="AB255" s="26">
        <f t="shared" si="51"/>
        <v>9319098</v>
      </c>
      <c r="AD255" s="6">
        <v>45542</v>
      </c>
      <c r="AE255" s="8">
        <v>265113</v>
      </c>
      <c r="AF255" s="8">
        <v>211300</v>
      </c>
      <c r="AG255" s="8">
        <v>17488560</v>
      </c>
      <c r="AH255" s="5">
        <f t="shared" si="61"/>
        <v>17964973</v>
      </c>
      <c r="AI255" s="8">
        <v>4483140</v>
      </c>
      <c r="AJ255" s="8">
        <v>0</v>
      </c>
      <c r="AK255" s="5">
        <f t="shared" si="56"/>
        <v>22448113</v>
      </c>
      <c r="AM255" s="6">
        <v>45908</v>
      </c>
      <c r="AN255" s="8">
        <v>7663934</v>
      </c>
      <c r="AO255" s="8">
        <v>0</v>
      </c>
      <c r="AP255" s="8">
        <v>0</v>
      </c>
      <c r="AQ255" s="5">
        <f t="shared" si="60"/>
        <v>7663934</v>
      </c>
      <c r="AR255" s="8">
        <v>1758170</v>
      </c>
      <c r="AS255" s="5">
        <v>63400</v>
      </c>
      <c r="AT255" s="8">
        <f t="shared" si="55"/>
        <v>1821570</v>
      </c>
      <c r="AV255" s="5">
        <f t="shared" si="58"/>
        <v>9485504</v>
      </c>
      <c r="AX255" s="6">
        <v>46274</v>
      </c>
      <c r="BB255" s="5"/>
      <c r="BD255" s="5"/>
      <c r="BG255" s="5"/>
    </row>
    <row r="256" spans="1:59">
      <c r="A256" s="13">
        <v>44086</v>
      </c>
      <c r="B256" s="11">
        <v>2010158</v>
      </c>
      <c r="C256" s="11">
        <v>1198180</v>
      </c>
      <c r="D256" s="11">
        <f t="shared" si="52"/>
        <v>3208338</v>
      </c>
      <c r="F256" s="13">
        <v>44450</v>
      </c>
      <c r="G256" s="5">
        <v>2109928</v>
      </c>
      <c r="H256" s="5">
        <v>781153</v>
      </c>
      <c r="I256" s="8">
        <v>181490</v>
      </c>
      <c r="J256" s="8">
        <v>0</v>
      </c>
      <c r="K256" s="7">
        <f t="shared" si="62"/>
        <v>3072571</v>
      </c>
      <c r="M256" s="6">
        <v>44814</v>
      </c>
      <c r="N256" s="5">
        <v>1422777</v>
      </c>
      <c r="O256" s="5">
        <v>565070</v>
      </c>
      <c r="P256" s="5">
        <v>140960</v>
      </c>
      <c r="Q256" s="5">
        <f t="shared" si="63"/>
        <v>2128807</v>
      </c>
      <c r="R256" s="5">
        <v>17700</v>
      </c>
      <c r="S256" s="5">
        <f t="shared" si="49"/>
        <v>2146507</v>
      </c>
      <c r="U256" s="6">
        <v>45178</v>
      </c>
      <c r="V256" s="8">
        <v>1323710</v>
      </c>
      <c r="W256" s="8">
        <v>859400</v>
      </c>
      <c r="X256" s="8">
        <v>220540</v>
      </c>
      <c r="Y256" s="26">
        <f t="shared" si="54"/>
        <v>2403650</v>
      </c>
      <c r="Z256" s="8">
        <v>549330</v>
      </c>
      <c r="AA256" s="8">
        <v>0</v>
      </c>
      <c r="AB256" s="26">
        <f t="shared" si="51"/>
        <v>2952980</v>
      </c>
      <c r="AD256" s="6">
        <v>45543</v>
      </c>
      <c r="AE256" s="8">
        <v>0</v>
      </c>
      <c r="AF256" s="8">
        <v>0</v>
      </c>
      <c r="AG256" s="8">
        <v>15728500</v>
      </c>
      <c r="AH256" s="5">
        <f t="shared" si="61"/>
        <v>15728500</v>
      </c>
      <c r="AI256" s="8">
        <v>4624170</v>
      </c>
      <c r="AJ256" s="8">
        <v>0</v>
      </c>
      <c r="AK256" s="5">
        <f t="shared" si="56"/>
        <v>20352670</v>
      </c>
      <c r="AM256" s="6">
        <v>45909</v>
      </c>
      <c r="AN256" s="8">
        <v>5930377</v>
      </c>
      <c r="AO256" s="8">
        <v>0</v>
      </c>
      <c r="AP256" s="8">
        <v>0</v>
      </c>
      <c r="AQ256" s="5">
        <f t="shared" si="60"/>
        <v>5930377</v>
      </c>
      <c r="AR256" s="8">
        <v>2534550</v>
      </c>
      <c r="AS256" s="5">
        <v>174800</v>
      </c>
      <c r="AT256" s="8">
        <f t="shared" si="55"/>
        <v>2709350</v>
      </c>
      <c r="AV256" s="5">
        <f t="shared" si="58"/>
        <v>8639727</v>
      </c>
      <c r="AX256" s="6">
        <v>46275</v>
      </c>
      <c r="BB256" s="5"/>
      <c r="BD256" s="5"/>
      <c r="BG256" s="5"/>
    </row>
    <row r="257" spans="1:59">
      <c r="A257" s="13">
        <v>44087</v>
      </c>
      <c r="B257" s="11">
        <v>4166133</v>
      </c>
      <c r="C257" s="11">
        <v>2935930</v>
      </c>
      <c r="D257" s="11">
        <f t="shared" si="52"/>
        <v>7102063</v>
      </c>
      <c r="F257" s="13">
        <v>44451</v>
      </c>
      <c r="G257" s="5">
        <v>3028203</v>
      </c>
      <c r="H257" s="5">
        <v>896500</v>
      </c>
      <c r="I257" s="8">
        <v>207930</v>
      </c>
      <c r="J257" s="8">
        <v>67840</v>
      </c>
      <c r="K257" s="7">
        <f t="shared" si="62"/>
        <v>4200473</v>
      </c>
      <c r="M257" s="6">
        <v>44815</v>
      </c>
      <c r="N257" s="5">
        <v>5008140</v>
      </c>
      <c r="O257" s="5">
        <v>602660</v>
      </c>
      <c r="P257" s="5">
        <v>42540</v>
      </c>
      <c r="Q257" s="5">
        <f t="shared" si="63"/>
        <v>5653340</v>
      </c>
      <c r="R257" s="5">
        <v>30090</v>
      </c>
      <c r="S257" s="5">
        <f t="shared" si="49"/>
        <v>5683430</v>
      </c>
      <c r="U257" s="6">
        <v>45179</v>
      </c>
      <c r="V257" s="8">
        <v>4499218</v>
      </c>
      <c r="W257" s="8">
        <v>1330680</v>
      </c>
      <c r="X257" s="8">
        <v>251230</v>
      </c>
      <c r="Y257" s="26">
        <f t="shared" si="54"/>
        <v>6081128</v>
      </c>
      <c r="Z257" s="8">
        <v>955130</v>
      </c>
      <c r="AA257" s="8">
        <v>0</v>
      </c>
      <c r="AB257" s="26">
        <f t="shared" si="51"/>
        <v>7036258</v>
      </c>
      <c r="AD257" s="6">
        <v>45544</v>
      </c>
      <c r="AE257" s="8">
        <v>0</v>
      </c>
      <c r="AF257" s="8">
        <v>0</v>
      </c>
      <c r="AG257" s="8">
        <v>0</v>
      </c>
      <c r="AH257" s="5">
        <f t="shared" si="61"/>
        <v>0</v>
      </c>
      <c r="AI257" s="8">
        <v>2187760</v>
      </c>
      <c r="AJ257" s="8">
        <v>0</v>
      </c>
      <c r="AK257" s="5">
        <f t="shared" si="56"/>
        <v>2187760</v>
      </c>
      <c r="AM257" s="6">
        <v>45910</v>
      </c>
      <c r="AN257" s="8">
        <v>7054936</v>
      </c>
      <c r="AO257" s="8">
        <v>0</v>
      </c>
      <c r="AP257" s="8">
        <v>0</v>
      </c>
      <c r="AQ257" s="5">
        <f t="shared" si="60"/>
        <v>7054936</v>
      </c>
      <c r="AR257" s="8">
        <v>2509720</v>
      </c>
      <c r="AS257" s="5">
        <v>135900</v>
      </c>
      <c r="AT257" s="8">
        <f t="shared" si="55"/>
        <v>2645620</v>
      </c>
      <c r="AU257" s="8">
        <v>3442750</v>
      </c>
      <c r="AV257" s="5">
        <f>AQ257+AT257+AU257</f>
        <v>13143306</v>
      </c>
      <c r="AX257" s="6">
        <v>46276</v>
      </c>
      <c r="BB257" s="5"/>
      <c r="BD257" s="5"/>
      <c r="BG257" s="5"/>
    </row>
    <row r="258" spans="1:59">
      <c r="A258" s="13">
        <v>44088</v>
      </c>
      <c r="B258" s="11">
        <v>18987467</v>
      </c>
      <c r="C258" s="11">
        <v>1682770</v>
      </c>
      <c r="D258" s="11">
        <f t="shared" si="52"/>
        <v>20670237</v>
      </c>
      <c r="F258" s="13">
        <v>44452</v>
      </c>
      <c r="G258" s="5">
        <v>8903524</v>
      </c>
      <c r="H258" s="5">
        <v>2456618</v>
      </c>
      <c r="I258" s="8">
        <v>355650</v>
      </c>
      <c r="J258" s="8">
        <v>143200</v>
      </c>
      <c r="K258" s="7">
        <f t="shared" si="62"/>
        <v>11858992</v>
      </c>
      <c r="M258" s="6">
        <v>44816</v>
      </c>
      <c r="N258" s="5">
        <v>2868618</v>
      </c>
      <c r="O258" s="5">
        <v>1273290</v>
      </c>
      <c r="P258" s="5">
        <v>316570</v>
      </c>
      <c r="Q258" s="5">
        <f t="shared" si="63"/>
        <v>4458478</v>
      </c>
      <c r="R258" s="5">
        <v>153270</v>
      </c>
      <c r="S258" s="5">
        <f t="shared" si="49"/>
        <v>4611748</v>
      </c>
      <c r="U258" s="6">
        <v>45180</v>
      </c>
      <c r="V258" s="8">
        <v>4722830</v>
      </c>
      <c r="W258" s="8">
        <v>2164220</v>
      </c>
      <c r="X258" s="8">
        <v>499960</v>
      </c>
      <c r="Y258" s="26">
        <f t="shared" si="54"/>
        <v>7387010</v>
      </c>
      <c r="Z258" s="8">
        <v>926450</v>
      </c>
      <c r="AA258" s="8">
        <v>0</v>
      </c>
      <c r="AB258" s="26">
        <f t="shared" si="51"/>
        <v>8313460</v>
      </c>
      <c r="AD258" s="6">
        <v>45545</v>
      </c>
      <c r="AE258" s="8">
        <v>0</v>
      </c>
      <c r="AF258" s="8">
        <v>0</v>
      </c>
      <c r="AG258" s="8">
        <v>0</v>
      </c>
      <c r="AH258" s="5">
        <f t="shared" si="61"/>
        <v>0</v>
      </c>
      <c r="AI258" s="8">
        <v>1027300</v>
      </c>
      <c r="AJ258" s="8"/>
      <c r="AK258" s="5">
        <f t="shared" si="56"/>
        <v>1027300</v>
      </c>
      <c r="AM258" s="6">
        <v>45911</v>
      </c>
      <c r="AN258" s="8">
        <v>7130761</v>
      </c>
      <c r="AO258" s="8">
        <v>0</v>
      </c>
      <c r="AP258" s="8">
        <v>0</v>
      </c>
      <c r="AQ258" s="5">
        <f t="shared" si="60"/>
        <v>7130761</v>
      </c>
      <c r="AR258" s="8">
        <v>1945090</v>
      </c>
      <c r="AS258" s="5">
        <v>158500</v>
      </c>
      <c r="AT258" s="8">
        <f t="shared" si="55"/>
        <v>2103590</v>
      </c>
      <c r="AU258" s="8">
        <v>397250</v>
      </c>
      <c r="AV258" s="5">
        <f t="shared" ref="AV258:AV275" si="64">AQ258+AT258+AU258</f>
        <v>9631601</v>
      </c>
      <c r="AX258" s="6">
        <v>46277</v>
      </c>
      <c r="BB258" s="5"/>
      <c r="BD258" s="5"/>
      <c r="BG258" s="5"/>
    </row>
    <row r="259" spans="1:59">
      <c r="A259" s="13">
        <v>44089</v>
      </c>
      <c r="B259" s="11">
        <v>16285005</v>
      </c>
      <c r="C259" s="11">
        <v>4261229</v>
      </c>
      <c r="D259" s="11">
        <f t="shared" si="52"/>
        <v>20546234</v>
      </c>
      <c r="F259" s="13">
        <v>44453</v>
      </c>
      <c r="G259" s="5">
        <v>11839280</v>
      </c>
      <c r="H259" s="5">
        <v>2259565</v>
      </c>
      <c r="I259" s="8">
        <v>491530</v>
      </c>
      <c r="J259" s="8">
        <v>143200</v>
      </c>
      <c r="K259" s="7">
        <f t="shared" si="62"/>
        <v>14733575</v>
      </c>
      <c r="M259" s="6">
        <v>44817</v>
      </c>
      <c r="N259" s="5">
        <v>4386055</v>
      </c>
      <c r="O259" s="5">
        <v>2613470</v>
      </c>
      <c r="P259" s="5">
        <v>329350</v>
      </c>
      <c r="Q259" s="5">
        <f t="shared" si="63"/>
        <v>7328875</v>
      </c>
      <c r="R259" s="5">
        <v>193690</v>
      </c>
      <c r="S259" s="5">
        <f t="shared" si="49"/>
        <v>7522565</v>
      </c>
      <c r="U259" s="6">
        <v>45181</v>
      </c>
      <c r="V259" s="8">
        <v>8455687</v>
      </c>
      <c r="W259" s="8">
        <v>3197960</v>
      </c>
      <c r="X259" s="8">
        <v>1151710</v>
      </c>
      <c r="Y259" s="26">
        <f t="shared" si="54"/>
        <v>12805357</v>
      </c>
      <c r="Z259" s="8">
        <v>734130</v>
      </c>
      <c r="AA259" s="8">
        <v>0</v>
      </c>
      <c r="AB259" s="26">
        <f t="shared" ref="AB259:AB340" si="65">Y259+Z259+AA259</f>
        <v>13539487</v>
      </c>
      <c r="AD259" s="6">
        <v>45546</v>
      </c>
      <c r="AE259" s="8">
        <v>37468806</v>
      </c>
      <c r="AF259" s="8">
        <v>9247345</v>
      </c>
      <c r="AG259" s="8">
        <v>352870</v>
      </c>
      <c r="AH259" s="5">
        <f t="shared" si="61"/>
        <v>47069021</v>
      </c>
      <c r="AI259" s="8">
        <v>383310</v>
      </c>
      <c r="AJ259" s="8"/>
      <c r="AK259" s="5">
        <f t="shared" si="56"/>
        <v>47452331</v>
      </c>
      <c r="AM259" s="6">
        <v>45912</v>
      </c>
      <c r="AN259" s="8">
        <v>5719912</v>
      </c>
      <c r="AO259" s="8">
        <v>0</v>
      </c>
      <c r="AP259" s="8">
        <v>0</v>
      </c>
      <c r="AQ259" s="5">
        <f t="shared" si="60"/>
        <v>5719912</v>
      </c>
      <c r="AR259" s="8">
        <v>1082860</v>
      </c>
      <c r="AS259" s="5">
        <v>48980</v>
      </c>
      <c r="AT259" s="8">
        <f t="shared" si="55"/>
        <v>1131840</v>
      </c>
      <c r="AU259" s="8">
        <v>0</v>
      </c>
      <c r="AV259" s="5">
        <f t="shared" si="64"/>
        <v>6851752</v>
      </c>
      <c r="AX259" s="6">
        <v>46278</v>
      </c>
      <c r="BB259" s="5"/>
      <c r="BD259" s="5"/>
      <c r="BG259" s="5"/>
    </row>
    <row r="260" spans="1:59">
      <c r="A260" s="13">
        <v>44090</v>
      </c>
      <c r="B260" s="11">
        <v>16770689</v>
      </c>
      <c r="C260" s="11">
        <v>4324750</v>
      </c>
      <c r="D260" s="11">
        <f t="shared" ref="D260:D323" si="66">SUM(B260:C260)</f>
        <v>21095439</v>
      </c>
      <c r="F260" s="13">
        <v>44454</v>
      </c>
      <c r="G260" s="5">
        <v>10071022</v>
      </c>
      <c r="H260" s="5">
        <v>1419970</v>
      </c>
      <c r="I260" s="8">
        <v>345980</v>
      </c>
      <c r="J260" s="8">
        <v>340100</v>
      </c>
      <c r="K260" s="7">
        <f t="shared" si="62"/>
        <v>12177072</v>
      </c>
      <c r="M260" s="6">
        <v>44818</v>
      </c>
      <c r="N260" s="5">
        <v>11147674</v>
      </c>
      <c r="O260" s="5">
        <v>1967180</v>
      </c>
      <c r="P260" s="5">
        <v>261220</v>
      </c>
      <c r="Q260" s="5">
        <f t="shared" si="63"/>
        <v>13376074</v>
      </c>
      <c r="R260" s="5">
        <v>247740</v>
      </c>
      <c r="S260" s="5">
        <f t="shared" si="49"/>
        <v>13623814</v>
      </c>
      <c r="U260" s="6">
        <v>45182</v>
      </c>
      <c r="V260" s="8">
        <v>7496689</v>
      </c>
      <c r="W260" s="8">
        <v>2462960</v>
      </c>
      <c r="X260" s="8">
        <v>545870</v>
      </c>
      <c r="Y260" s="26">
        <f t="shared" si="54"/>
        <v>10505519</v>
      </c>
      <c r="Z260" s="8">
        <v>1065300</v>
      </c>
      <c r="AA260" s="8">
        <v>0</v>
      </c>
      <c r="AB260" s="26">
        <f t="shared" si="65"/>
        <v>11570819</v>
      </c>
      <c r="AD260" s="6">
        <v>45547</v>
      </c>
      <c r="AE260" s="8">
        <v>11306716</v>
      </c>
      <c r="AF260" s="8">
        <v>3420410</v>
      </c>
      <c r="AG260" s="8">
        <v>98710</v>
      </c>
      <c r="AH260" s="5">
        <f t="shared" si="61"/>
        <v>14825836</v>
      </c>
      <c r="AI260" s="8">
        <v>291790</v>
      </c>
      <c r="AJ260" s="8"/>
      <c r="AK260" s="5">
        <f t="shared" si="56"/>
        <v>15117626</v>
      </c>
      <c r="AM260" s="6">
        <v>45913</v>
      </c>
      <c r="AN260" s="8">
        <v>3689891</v>
      </c>
      <c r="AO260" s="8">
        <v>0</v>
      </c>
      <c r="AP260" s="8">
        <v>0</v>
      </c>
      <c r="AQ260" s="5">
        <f t="shared" si="60"/>
        <v>3689891</v>
      </c>
      <c r="AR260" s="8">
        <v>850260</v>
      </c>
      <c r="AS260" s="5">
        <v>0</v>
      </c>
      <c r="AT260" s="8">
        <f t="shared" si="55"/>
        <v>850260</v>
      </c>
      <c r="AU260" s="8">
        <v>0</v>
      </c>
      <c r="AV260" s="5">
        <f t="shared" si="64"/>
        <v>4540151</v>
      </c>
      <c r="AX260" s="6">
        <v>46279</v>
      </c>
      <c r="BB260" s="5"/>
      <c r="BD260" s="5"/>
      <c r="BG260" s="5"/>
    </row>
    <row r="261" spans="1:59">
      <c r="A261" s="13">
        <v>44091</v>
      </c>
      <c r="B261" s="11">
        <v>16184474</v>
      </c>
      <c r="C261" s="11">
        <v>4364770</v>
      </c>
      <c r="D261" s="11">
        <f t="shared" si="66"/>
        <v>20549244</v>
      </c>
      <c r="F261" s="13">
        <v>44455</v>
      </c>
      <c r="G261" s="5">
        <v>1288900</v>
      </c>
      <c r="H261" s="5">
        <v>411610</v>
      </c>
      <c r="I261" s="8">
        <v>94210</v>
      </c>
      <c r="J261" s="8">
        <v>286400</v>
      </c>
      <c r="K261" s="7">
        <f t="shared" si="62"/>
        <v>2081120</v>
      </c>
      <c r="M261" s="6">
        <v>44819</v>
      </c>
      <c r="N261" s="5">
        <v>6690709</v>
      </c>
      <c r="O261" s="5">
        <v>3233854</v>
      </c>
      <c r="P261" s="5">
        <v>277490</v>
      </c>
      <c r="Q261" s="5">
        <f t="shared" si="63"/>
        <v>10202053</v>
      </c>
      <c r="R261" s="5">
        <v>103940</v>
      </c>
      <c r="S261" s="5">
        <f t="shared" si="49"/>
        <v>10305993</v>
      </c>
      <c r="U261" s="6">
        <v>45183</v>
      </c>
      <c r="V261" s="8">
        <v>9700051</v>
      </c>
      <c r="W261" s="8">
        <v>2624060</v>
      </c>
      <c r="X261" s="8">
        <v>540060</v>
      </c>
      <c r="Y261" s="26">
        <f t="shared" ref="Y261:Y286" si="67">SUM(V261:X261)</f>
        <v>12864171</v>
      </c>
      <c r="Z261" s="8">
        <v>669880</v>
      </c>
      <c r="AA261" s="8">
        <v>0</v>
      </c>
      <c r="AB261" s="26">
        <f t="shared" si="65"/>
        <v>13534051</v>
      </c>
      <c r="AD261" s="6">
        <v>45548</v>
      </c>
      <c r="AE261" s="8">
        <v>4718855</v>
      </c>
      <c r="AF261" s="8">
        <v>1139080</v>
      </c>
      <c r="AG261" s="8">
        <v>74160</v>
      </c>
      <c r="AH261" s="5">
        <f t="shared" si="61"/>
        <v>5932095</v>
      </c>
      <c r="AI261" s="8">
        <v>359110</v>
      </c>
      <c r="AJ261" s="8"/>
      <c r="AK261" s="5">
        <f t="shared" si="56"/>
        <v>6291205</v>
      </c>
      <c r="AM261" s="6">
        <v>45914</v>
      </c>
      <c r="AN261" s="8">
        <v>4379116</v>
      </c>
      <c r="AO261" s="8">
        <v>0</v>
      </c>
      <c r="AP261" s="8">
        <v>0</v>
      </c>
      <c r="AQ261" s="5">
        <f t="shared" si="60"/>
        <v>4379116</v>
      </c>
      <c r="AR261" s="8">
        <v>1599730</v>
      </c>
      <c r="AS261" s="5">
        <v>80680</v>
      </c>
      <c r="AT261" s="8">
        <f t="shared" ref="AT261:AT324" si="68">AR261+AS261</f>
        <v>1680410</v>
      </c>
      <c r="AU261" s="8">
        <v>0</v>
      </c>
      <c r="AV261" s="5">
        <f t="shared" si="64"/>
        <v>6059526</v>
      </c>
      <c r="AX261" s="6">
        <v>46280</v>
      </c>
      <c r="BB261" s="5"/>
      <c r="BD261" s="5"/>
      <c r="BG261" s="5"/>
    </row>
    <row r="262" spans="1:59">
      <c r="A262" s="13">
        <v>44092</v>
      </c>
      <c r="B262" s="11">
        <v>11869565</v>
      </c>
      <c r="C262" s="11">
        <v>3180950</v>
      </c>
      <c r="D262" s="11">
        <f t="shared" si="66"/>
        <v>15050515</v>
      </c>
      <c r="F262" s="13">
        <v>44456</v>
      </c>
      <c r="G262" s="5">
        <v>531495</v>
      </c>
      <c r="H262" s="5">
        <v>218680</v>
      </c>
      <c r="I262" s="8">
        <v>9200</v>
      </c>
      <c r="J262" s="8">
        <v>107400</v>
      </c>
      <c r="K262" s="7">
        <f t="shared" si="62"/>
        <v>866775</v>
      </c>
      <c r="M262" s="6">
        <v>44820</v>
      </c>
      <c r="N262" s="5">
        <v>3434174</v>
      </c>
      <c r="O262" s="5">
        <v>1492860</v>
      </c>
      <c r="P262" s="5">
        <v>204360</v>
      </c>
      <c r="Q262" s="5">
        <f t="shared" si="63"/>
        <v>5131394</v>
      </c>
      <c r="R262" s="5">
        <v>74400</v>
      </c>
      <c r="S262" s="5">
        <f t="shared" si="49"/>
        <v>5205794</v>
      </c>
      <c r="U262" s="6">
        <v>45184</v>
      </c>
      <c r="V262" s="8">
        <v>5599579</v>
      </c>
      <c r="W262" s="8">
        <v>1787345</v>
      </c>
      <c r="X262" s="8">
        <v>403100</v>
      </c>
      <c r="Y262" s="26">
        <f t="shared" si="67"/>
        <v>7790024</v>
      </c>
      <c r="Z262" s="8">
        <v>362100</v>
      </c>
      <c r="AA262" s="8">
        <v>0</v>
      </c>
      <c r="AB262" s="26">
        <f t="shared" si="65"/>
        <v>8152124</v>
      </c>
      <c r="AD262" s="6">
        <v>45549</v>
      </c>
      <c r="AE262" s="8">
        <v>3843108</v>
      </c>
      <c r="AF262" s="8">
        <v>1060290</v>
      </c>
      <c r="AG262" s="8">
        <v>0</v>
      </c>
      <c r="AH262" s="5">
        <f t="shared" si="61"/>
        <v>4903398</v>
      </c>
      <c r="AI262" s="8">
        <v>549010</v>
      </c>
      <c r="AJ262" s="8"/>
      <c r="AK262" s="5">
        <f t="shared" si="56"/>
        <v>5452408</v>
      </c>
      <c r="AM262" s="6">
        <v>45915</v>
      </c>
      <c r="AN262" s="8">
        <v>7632285</v>
      </c>
      <c r="AO262" s="8">
        <v>0</v>
      </c>
      <c r="AP262" s="8">
        <v>0</v>
      </c>
      <c r="AQ262" s="5">
        <f t="shared" si="60"/>
        <v>7632285</v>
      </c>
      <c r="AR262" s="8">
        <v>1486410</v>
      </c>
      <c r="AS262" s="5">
        <v>31700</v>
      </c>
      <c r="AT262" s="8">
        <f t="shared" si="68"/>
        <v>1518110</v>
      </c>
      <c r="AU262" s="8">
        <v>0</v>
      </c>
      <c r="AV262" s="5">
        <f t="shared" si="64"/>
        <v>9150395</v>
      </c>
      <c r="AX262" s="6">
        <v>46281</v>
      </c>
      <c r="BB262" s="5"/>
      <c r="BD262" s="5"/>
      <c r="BG262" s="5"/>
    </row>
    <row r="263" spans="1:59">
      <c r="A263" s="13">
        <v>44093</v>
      </c>
      <c r="B263" s="11">
        <v>4063502</v>
      </c>
      <c r="C263" s="11">
        <v>1660340</v>
      </c>
      <c r="D263" s="11">
        <f t="shared" si="66"/>
        <v>5723842</v>
      </c>
      <c r="F263" s="13">
        <v>44457</v>
      </c>
      <c r="G263" s="5">
        <v>907673</v>
      </c>
      <c r="H263" s="5">
        <v>242180</v>
      </c>
      <c r="I263" s="8">
        <v>35000</v>
      </c>
      <c r="J263" s="8">
        <v>179000</v>
      </c>
      <c r="K263" s="7">
        <f t="shared" si="62"/>
        <v>1363853</v>
      </c>
      <c r="M263" s="6">
        <v>44821</v>
      </c>
      <c r="N263" s="5">
        <v>2101047</v>
      </c>
      <c r="O263" s="5">
        <v>1440540</v>
      </c>
      <c r="P263" s="5">
        <v>225960</v>
      </c>
      <c r="Q263" s="5">
        <f t="shared" si="63"/>
        <v>3767547</v>
      </c>
      <c r="R263" s="5">
        <v>192380</v>
      </c>
      <c r="S263" s="5">
        <f t="shared" si="49"/>
        <v>3959927</v>
      </c>
      <c r="U263" s="6">
        <v>45185</v>
      </c>
      <c r="V263" s="8">
        <v>2359509</v>
      </c>
      <c r="W263" s="8">
        <v>1067510</v>
      </c>
      <c r="X263" s="8">
        <v>329190</v>
      </c>
      <c r="Y263" s="26">
        <f t="shared" si="67"/>
        <v>3756209</v>
      </c>
      <c r="Z263" s="8">
        <v>480300</v>
      </c>
      <c r="AA263" s="8">
        <v>0</v>
      </c>
      <c r="AB263" s="26">
        <f t="shared" si="65"/>
        <v>4236509</v>
      </c>
      <c r="AD263" s="6">
        <v>45550</v>
      </c>
      <c r="AE263" s="8">
        <v>2610749</v>
      </c>
      <c r="AF263" s="8">
        <v>737750</v>
      </c>
      <c r="AG263" s="8">
        <v>43500</v>
      </c>
      <c r="AH263" s="5">
        <f t="shared" si="61"/>
        <v>3391999</v>
      </c>
      <c r="AI263" s="8">
        <v>616910</v>
      </c>
      <c r="AJ263" s="8"/>
      <c r="AK263" s="5">
        <f t="shared" ref="AK263:AK326" si="69">AH263+AJ263+AI263</f>
        <v>4008909</v>
      </c>
      <c r="AM263" s="6">
        <v>45916</v>
      </c>
      <c r="AN263" s="8">
        <v>7609551</v>
      </c>
      <c r="AO263" s="8">
        <v>0</v>
      </c>
      <c r="AP263" s="8">
        <v>0</v>
      </c>
      <c r="AQ263" s="5">
        <f t="shared" si="60"/>
        <v>7609551</v>
      </c>
      <c r="AR263" s="8">
        <v>2372910</v>
      </c>
      <c r="AS263" s="5">
        <v>73500</v>
      </c>
      <c r="AT263" s="8">
        <f t="shared" si="68"/>
        <v>2446410</v>
      </c>
      <c r="AU263" s="8">
        <v>353000</v>
      </c>
      <c r="AV263" s="5">
        <f t="shared" si="64"/>
        <v>10408961</v>
      </c>
      <c r="AX263" s="6">
        <v>46282</v>
      </c>
      <c r="BB263" s="5"/>
      <c r="BD263" s="5"/>
      <c r="BG263" s="5"/>
    </row>
    <row r="264" spans="1:59">
      <c r="A264" s="13">
        <v>44094</v>
      </c>
      <c r="B264" s="11">
        <v>2860716</v>
      </c>
      <c r="C264" s="11">
        <v>2555180</v>
      </c>
      <c r="D264" s="11">
        <f t="shared" si="66"/>
        <v>5415896</v>
      </c>
      <c r="F264" s="13">
        <v>44458</v>
      </c>
      <c r="G264" s="5">
        <v>1042029</v>
      </c>
      <c r="H264" s="5">
        <v>354400</v>
      </c>
      <c r="I264" s="8">
        <v>115670</v>
      </c>
      <c r="J264" s="8">
        <v>125300</v>
      </c>
      <c r="K264" s="7">
        <f t="shared" si="62"/>
        <v>1637399</v>
      </c>
      <c r="M264" s="6">
        <v>44822</v>
      </c>
      <c r="N264" s="5">
        <v>2090522</v>
      </c>
      <c r="O264" s="5">
        <v>1419150</v>
      </c>
      <c r="P264" s="5">
        <v>204560</v>
      </c>
      <c r="Q264" s="5">
        <f t="shared" si="63"/>
        <v>3714232</v>
      </c>
      <c r="R264" s="5">
        <v>196350</v>
      </c>
      <c r="S264" s="5">
        <f t="shared" si="49"/>
        <v>3910582</v>
      </c>
      <c r="U264" s="6">
        <v>45186</v>
      </c>
      <c r="V264" s="8">
        <v>4001213</v>
      </c>
      <c r="W264" s="8">
        <v>1271380</v>
      </c>
      <c r="X264" s="8">
        <v>319110</v>
      </c>
      <c r="Y264" s="26">
        <f t="shared" si="67"/>
        <v>5591703</v>
      </c>
      <c r="Z264" s="8">
        <v>885900</v>
      </c>
      <c r="AA264" s="8">
        <v>0</v>
      </c>
      <c r="AB264" s="26">
        <f t="shared" si="65"/>
        <v>6477603</v>
      </c>
      <c r="AD264" s="6">
        <v>45551</v>
      </c>
      <c r="AE264" s="8">
        <v>3404783</v>
      </c>
      <c r="AF264" s="8">
        <v>1122590</v>
      </c>
      <c r="AG264" s="8">
        <v>74730</v>
      </c>
      <c r="AH264" s="5">
        <f t="shared" si="61"/>
        <v>4602103</v>
      </c>
      <c r="AI264" s="8">
        <v>1278500</v>
      </c>
      <c r="AJ264" s="8"/>
      <c r="AK264" s="5">
        <f t="shared" si="69"/>
        <v>5880603</v>
      </c>
      <c r="AM264" s="6">
        <v>45917</v>
      </c>
      <c r="AN264" s="8">
        <v>9027493</v>
      </c>
      <c r="AO264" s="8">
        <v>0</v>
      </c>
      <c r="AP264" s="8">
        <v>0</v>
      </c>
      <c r="AQ264" s="5">
        <f t="shared" si="60"/>
        <v>9027493</v>
      </c>
      <c r="AR264" s="8">
        <v>2093640</v>
      </c>
      <c r="AS264" s="5">
        <v>214700</v>
      </c>
      <c r="AT264" s="8">
        <f t="shared" si="68"/>
        <v>2308340</v>
      </c>
      <c r="AU264" s="8">
        <v>1529500</v>
      </c>
      <c r="AV264" s="5">
        <f t="shared" si="64"/>
        <v>12865333</v>
      </c>
      <c r="AX264" s="6">
        <v>46283</v>
      </c>
      <c r="BB264" s="5"/>
      <c r="BD264" s="5"/>
      <c r="BG264" s="5"/>
    </row>
    <row r="265" spans="1:59">
      <c r="A265" s="13">
        <v>44095</v>
      </c>
      <c r="B265" s="11">
        <v>18229005</v>
      </c>
      <c r="C265" s="11">
        <v>3194230</v>
      </c>
      <c r="D265" s="11">
        <f t="shared" si="66"/>
        <v>21423235</v>
      </c>
      <c r="F265" s="13">
        <v>44459</v>
      </c>
      <c r="G265" s="5">
        <v>2701266</v>
      </c>
      <c r="H265" s="5">
        <v>488050</v>
      </c>
      <c r="I265" s="8">
        <v>63400</v>
      </c>
      <c r="J265" s="8">
        <v>166450</v>
      </c>
      <c r="K265" s="7">
        <f t="shared" si="62"/>
        <v>3419166</v>
      </c>
      <c r="M265" s="6">
        <v>44823</v>
      </c>
      <c r="N265" s="5">
        <v>6010113</v>
      </c>
      <c r="O265" s="5">
        <v>2849770</v>
      </c>
      <c r="P265" s="5">
        <v>553750</v>
      </c>
      <c r="Q265" s="5">
        <f t="shared" si="63"/>
        <v>9413633</v>
      </c>
      <c r="R265" s="5">
        <v>154590</v>
      </c>
      <c r="S265" s="5">
        <f t="shared" si="49"/>
        <v>9568223</v>
      </c>
      <c r="U265" s="6">
        <v>45187</v>
      </c>
      <c r="V265" s="8">
        <v>6298033</v>
      </c>
      <c r="W265" s="8">
        <v>2316040</v>
      </c>
      <c r="X265" s="8">
        <v>508690</v>
      </c>
      <c r="Y265" s="26">
        <f t="shared" si="67"/>
        <v>9122763</v>
      </c>
      <c r="Z265" s="8">
        <v>959750</v>
      </c>
      <c r="AA265" s="8">
        <v>0</v>
      </c>
      <c r="AB265" s="26">
        <f t="shared" si="65"/>
        <v>10082513</v>
      </c>
      <c r="AD265" s="6">
        <v>45552</v>
      </c>
      <c r="AE265" s="8">
        <v>4838894</v>
      </c>
      <c r="AF265" s="8">
        <v>1196140</v>
      </c>
      <c r="AG265" s="8">
        <v>226080</v>
      </c>
      <c r="AH265" s="5">
        <f t="shared" si="61"/>
        <v>6261114</v>
      </c>
      <c r="AI265" s="8">
        <v>2073240</v>
      </c>
      <c r="AJ265" s="8"/>
      <c r="AK265" s="5">
        <f t="shared" si="69"/>
        <v>8334354</v>
      </c>
      <c r="AM265" s="6">
        <v>45918</v>
      </c>
      <c r="AN265" s="8">
        <v>7078764</v>
      </c>
      <c r="AO265" s="8">
        <v>1130040</v>
      </c>
      <c r="AP265" s="8">
        <v>0</v>
      </c>
      <c r="AQ265" s="5">
        <f t="shared" si="60"/>
        <v>8208804</v>
      </c>
      <c r="AR265" s="8">
        <v>1676390</v>
      </c>
      <c r="AS265" s="5">
        <v>173180</v>
      </c>
      <c r="AT265" s="8">
        <f t="shared" si="68"/>
        <v>1849570</v>
      </c>
      <c r="AU265" s="8">
        <v>1140000</v>
      </c>
      <c r="AV265" s="5">
        <f t="shared" si="64"/>
        <v>11198374</v>
      </c>
      <c r="AX265" s="6">
        <v>46284</v>
      </c>
      <c r="BB265" s="5"/>
      <c r="BD265" s="5"/>
      <c r="BG265" s="5"/>
    </row>
    <row r="266" spans="1:59">
      <c r="A266" s="13">
        <v>44096</v>
      </c>
      <c r="B266" s="11">
        <v>17517963</v>
      </c>
      <c r="C266" s="11">
        <v>3668490</v>
      </c>
      <c r="D266" s="11">
        <f t="shared" si="66"/>
        <v>21186453</v>
      </c>
      <c r="F266" s="13">
        <v>44460</v>
      </c>
      <c r="G266" s="5">
        <v>5648903</v>
      </c>
      <c r="H266" s="5">
        <v>1270810</v>
      </c>
      <c r="I266" s="8">
        <v>117980</v>
      </c>
      <c r="J266" s="8">
        <v>322200</v>
      </c>
      <c r="K266" s="7">
        <f t="shared" si="62"/>
        <v>7359893</v>
      </c>
      <c r="M266" s="6">
        <v>44824</v>
      </c>
      <c r="N266" s="5">
        <v>8932311</v>
      </c>
      <c r="O266" s="5">
        <v>3014740</v>
      </c>
      <c r="P266" s="5">
        <v>373650</v>
      </c>
      <c r="Q266" s="5">
        <f t="shared" si="63"/>
        <v>12320701</v>
      </c>
      <c r="R266" s="5">
        <v>106830</v>
      </c>
      <c r="S266" s="5">
        <f t="shared" si="49"/>
        <v>12427531</v>
      </c>
      <c r="U266" s="6">
        <v>45188</v>
      </c>
      <c r="V266" s="8">
        <v>13920681</v>
      </c>
      <c r="W266" s="8">
        <v>2305820</v>
      </c>
      <c r="X266" s="8">
        <v>365400</v>
      </c>
      <c r="Y266" s="26">
        <f t="shared" si="67"/>
        <v>16591901</v>
      </c>
      <c r="Z266" s="8">
        <v>329650</v>
      </c>
      <c r="AA266" s="8">
        <v>0</v>
      </c>
      <c r="AB266" s="26">
        <f t="shared" si="65"/>
        <v>16921551</v>
      </c>
      <c r="AD266" s="6">
        <v>45553</v>
      </c>
      <c r="AE266" s="8">
        <v>10448162</v>
      </c>
      <c r="AF266" s="8">
        <v>2168560</v>
      </c>
      <c r="AG266" s="8">
        <v>355730</v>
      </c>
      <c r="AH266" s="5">
        <f t="shared" si="61"/>
        <v>12972452</v>
      </c>
      <c r="AI266" s="8">
        <v>3601070</v>
      </c>
      <c r="AJ266" s="8"/>
      <c r="AK266" s="5">
        <f t="shared" si="69"/>
        <v>16573522</v>
      </c>
      <c r="AM266" s="6">
        <v>45919</v>
      </c>
      <c r="AN266" s="8">
        <v>4423770</v>
      </c>
      <c r="AO266" s="8">
        <v>1452130</v>
      </c>
      <c r="AP266" s="8">
        <v>0</v>
      </c>
      <c r="AQ266" s="5">
        <f t="shared" si="60"/>
        <v>5875900</v>
      </c>
      <c r="AR266" s="8">
        <v>1364566</v>
      </c>
      <c r="AS266" s="5">
        <v>185900</v>
      </c>
      <c r="AT266" s="8">
        <f t="shared" si="68"/>
        <v>1550466</v>
      </c>
      <c r="AU266" s="8">
        <v>342500</v>
      </c>
      <c r="AV266" s="5">
        <f t="shared" si="64"/>
        <v>7768866</v>
      </c>
      <c r="AX266" s="6">
        <v>46285</v>
      </c>
      <c r="BB266" s="5"/>
      <c r="BD266" s="5"/>
      <c r="BG266" s="5"/>
    </row>
    <row r="267" spans="1:59">
      <c r="A267" s="13">
        <v>44097</v>
      </c>
      <c r="B267" s="11">
        <v>17116842</v>
      </c>
      <c r="C267" s="11">
        <v>4099880</v>
      </c>
      <c r="D267" s="11">
        <f t="shared" si="66"/>
        <v>21216722</v>
      </c>
      <c r="F267" s="13">
        <v>44461</v>
      </c>
      <c r="G267" s="5">
        <v>10269097</v>
      </c>
      <c r="H267" s="5">
        <v>2460250</v>
      </c>
      <c r="I267" s="8">
        <v>292780</v>
      </c>
      <c r="J267" s="8">
        <v>2413600</v>
      </c>
      <c r="K267" s="7">
        <f t="shared" si="62"/>
        <v>15435727</v>
      </c>
      <c r="M267" s="6">
        <v>44825</v>
      </c>
      <c r="N267" s="5">
        <v>8479144</v>
      </c>
      <c r="O267" s="5">
        <v>3071550</v>
      </c>
      <c r="P267" s="5">
        <v>337100</v>
      </c>
      <c r="Q267" s="5">
        <f t="shared" si="63"/>
        <v>11887794</v>
      </c>
      <c r="R267" s="5">
        <v>192570</v>
      </c>
      <c r="S267" s="5">
        <f t="shared" si="49"/>
        <v>12080364</v>
      </c>
      <c r="U267" s="6">
        <v>45189</v>
      </c>
      <c r="V267" s="8">
        <v>11191824</v>
      </c>
      <c r="W267" s="8">
        <v>1416150</v>
      </c>
      <c r="X267" s="8">
        <v>504440</v>
      </c>
      <c r="Y267" s="26">
        <f t="shared" si="67"/>
        <v>13112414</v>
      </c>
      <c r="Z267" s="8">
        <v>845092</v>
      </c>
      <c r="AA267" s="8">
        <v>0</v>
      </c>
      <c r="AB267" s="26">
        <f t="shared" si="65"/>
        <v>13957506</v>
      </c>
      <c r="AD267" s="6">
        <v>45554</v>
      </c>
      <c r="AE267" s="8">
        <v>4911764</v>
      </c>
      <c r="AF267" s="8">
        <v>1495350</v>
      </c>
      <c r="AG267" s="8">
        <v>502040</v>
      </c>
      <c r="AH267" s="5">
        <f t="shared" si="61"/>
        <v>6909154</v>
      </c>
      <c r="AI267" s="8">
        <v>1668820</v>
      </c>
      <c r="AJ267" s="8"/>
      <c r="AK267" s="5">
        <f t="shared" si="69"/>
        <v>8577974</v>
      </c>
      <c r="AM267" s="6">
        <v>45920</v>
      </c>
      <c r="AN267" s="8">
        <v>2843571</v>
      </c>
      <c r="AO267" s="8">
        <v>810520</v>
      </c>
      <c r="AP267" s="8">
        <v>0</v>
      </c>
      <c r="AQ267" s="5">
        <f t="shared" si="60"/>
        <v>3654091</v>
      </c>
      <c r="AR267" s="8">
        <v>1016670</v>
      </c>
      <c r="AS267" s="5">
        <v>80700</v>
      </c>
      <c r="AT267" s="8">
        <f t="shared" si="68"/>
        <v>1097370</v>
      </c>
      <c r="AU267" s="8">
        <v>301500</v>
      </c>
      <c r="AV267" s="5">
        <f t="shared" si="64"/>
        <v>5052961</v>
      </c>
      <c r="AX267" s="6">
        <v>46286</v>
      </c>
      <c r="BB267" s="5"/>
      <c r="BD267" s="5"/>
      <c r="BG267" s="5"/>
    </row>
    <row r="268" spans="1:59">
      <c r="A268" s="13">
        <v>44098</v>
      </c>
      <c r="B268" s="11">
        <v>17874072</v>
      </c>
      <c r="C268" s="11">
        <v>2702640</v>
      </c>
      <c r="D268" s="11">
        <f t="shared" si="66"/>
        <v>20576712</v>
      </c>
      <c r="F268" s="13">
        <v>44462</v>
      </c>
      <c r="G268" s="5">
        <v>3891762</v>
      </c>
      <c r="H268" s="5">
        <v>1960280</v>
      </c>
      <c r="I268" s="8">
        <v>232140</v>
      </c>
      <c r="J268" s="8">
        <v>2702900</v>
      </c>
      <c r="K268" s="7">
        <f t="shared" si="62"/>
        <v>8787082</v>
      </c>
      <c r="M268" s="6">
        <v>44826</v>
      </c>
      <c r="N268" s="5">
        <v>8869375</v>
      </c>
      <c r="O268" s="5">
        <v>3122300</v>
      </c>
      <c r="P268" s="5">
        <v>312380</v>
      </c>
      <c r="Q268" s="5">
        <f t="shared" si="63"/>
        <v>12304055</v>
      </c>
      <c r="R268" s="5">
        <v>106650</v>
      </c>
      <c r="S268" s="5">
        <f t="shared" si="49"/>
        <v>12410705</v>
      </c>
      <c r="U268" s="6">
        <v>45190</v>
      </c>
      <c r="V268" s="8">
        <v>12332264</v>
      </c>
      <c r="W268" s="8">
        <v>1152960</v>
      </c>
      <c r="X268" s="8">
        <v>243950</v>
      </c>
      <c r="Y268" s="26">
        <f t="shared" si="67"/>
        <v>13729174</v>
      </c>
      <c r="Z268" s="8">
        <v>1186250</v>
      </c>
      <c r="AA268" s="8">
        <v>0</v>
      </c>
      <c r="AB268" s="26">
        <f t="shared" si="65"/>
        <v>14915424</v>
      </c>
      <c r="AD268" s="6">
        <v>45555</v>
      </c>
      <c r="AE268" s="8">
        <v>2288575</v>
      </c>
      <c r="AF268" s="8">
        <v>574220</v>
      </c>
      <c r="AG268" s="8">
        <v>163810</v>
      </c>
      <c r="AH268" s="5">
        <f t="shared" si="61"/>
        <v>3026605</v>
      </c>
      <c r="AI268" s="8">
        <v>367710</v>
      </c>
      <c r="AJ268" s="8"/>
      <c r="AK268" s="5">
        <f t="shared" si="69"/>
        <v>3394315</v>
      </c>
      <c r="AM268" s="6">
        <v>45921</v>
      </c>
      <c r="AN268" s="8">
        <v>4821889</v>
      </c>
      <c r="AO268" s="8">
        <v>786140</v>
      </c>
      <c r="AP268" s="8">
        <v>0</v>
      </c>
      <c r="AQ268" s="5">
        <f t="shared" si="60"/>
        <v>5608029</v>
      </c>
      <c r="AR268" s="8">
        <v>1368600</v>
      </c>
      <c r="AS268" s="5">
        <v>87900</v>
      </c>
      <c r="AT268" s="8">
        <f t="shared" si="68"/>
        <v>1456500</v>
      </c>
      <c r="AU268" s="8">
        <v>200000</v>
      </c>
      <c r="AV268" s="5">
        <f t="shared" si="64"/>
        <v>7264529</v>
      </c>
      <c r="AX268" s="6">
        <v>46287</v>
      </c>
      <c r="BB268" s="5"/>
      <c r="BD268" s="5"/>
      <c r="BG268" s="5"/>
    </row>
    <row r="269" spans="1:59">
      <c r="A269" s="13">
        <v>44099</v>
      </c>
      <c r="B269" s="11">
        <v>4242525</v>
      </c>
      <c r="C269" s="11">
        <v>2713850</v>
      </c>
      <c r="D269" s="11">
        <f t="shared" si="66"/>
        <v>6956375</v>
      </c>
      <c r="F269" s="13">
        <v>44463</v>
      </c>
      <c r="G269" s="5">
        <v>4108370</v>
      </c>
      <c r="H269" s="5">
        <v>577155</v>
      </c>
      <c r="I269" s="8">
        <v>329170</v>
      </c>
      <c r="J269" s="8">
        <v>1485700</v>
      </c>
      <c r="K269" s="7">
        <f t="shared" si="62"/>
        <v>6500395</v>
      </c>
      <c r="M269" s="6">
        <v>44827</v>
      </c>
      <c r="N269" s="5">
        <v>3511023</v>
      </c>
      <c r="O269" s="5">
        <v>1437620</v>
      </c>
      <c r="P269" s="5">
        <v>128530</v>
      </c>
      <c r="Q269" s="5">
        <f t="shared" si="63"/>
        <v>5077173</v>
      </c>
      <c r="R269" s="5">
        <v>32940</v>
      </c>
      <c r="S269" s="5">
        <f t="shared" si="49"/>
        <v>5110113</v>
      </c>
      <c r="U269" s="6">
        <v>45191</v>
      </c>
      <c r="V269" s="8">
        <v>9267493</v>
      </c>
      <c r="W269" s="8">
        <v>3081110</v>
      </c>
      <c r="X269" s="8">
        <v>284630</v>
      </c>
      <c r="Y269" s="26">
        <f t="shared" si="67"/>
        <v>12633233</v>
      </c>
      <c r="Z269" s="8">
        <v>581570</v>
      </c>
      <c r="AA269" s="8">
        <v>0</v>
      </c>
      <c r="AB269" s="26">
        <f t="shared" si="65"/>
        <v>13214803</v>
      </c>
      <c r="AD269" s="6">
        <v>45556</v>
      </c>
      <c r="AE269" s="8">
        <v>2288575</v>
      </c>
      <c r="AF269" s="8">
        <v>574220</v>
      </c>
      <c r="AG269" s="8">
        <v>188160</v>
      </c>
      <c r="AH269" s="5">
        <f t="shared" si="61"/>
        <v>3050955</v>
      </c>
      <c r="AI269" s="8">
        <v>610530</v>
      </c>
      <c r="AJ269" s="8"/>
      <c r="AK269" s="5">
        <f t="shared" si="69"/>
        <v>3661485</v>
      </c>
      <c r="AM269" s="6">
        <v>45922</v>
      </c>
      <c r="AN269" s="8">
        <v>7086529</v>
      </c>
      <c r="AO269" s="8">
        <v>1256510</v>
      </c>
      <c r="AP269" s="8">
        <v>0</v>
      </c>
      <c r="AQ269" s="5">
        <f t="shared" si="60"/>
        <v>8343039</v>
      </c>
      <c r="AR269" s="8">
        <v>1984740</v>
      </c>
      <c r="AS269" s="5">
        <v>105200</v>
      </c>
      <c r="AT269" s="8">
        <f t="shared" si="68"/>
        <v>2089940</v>
      </c>
      <c r="AU269" s="8">
        <v>426950</v>
      </c>
      <c r="AV269" s="5">
        <f t="shared" si="64"/>
        <v>10859929</v>
      </c>
      <c r="AX269" s="6">
        <v>46288</v>
      </c>
      <c r="BB269" s="5"/>
      <c r="BD269" s="5"/>
      <c r="BG269" s="5"/>
    </row>
    <row r="270" spans="1:59">
      <c r="A270" s="13">
        <v>44100</v>
      </c>
      <c r="B270" s="11">
        <v>18229005</v>
      </c>
      <c r="C270" s="11">
        <v>3194230</v>
      </c>
      <c r="D270" s="11">
        <f t="shared" si="66"/>
        <v>21423235</v>
      </c>
      <c r="F270" s="13">
        <v>44464</v>
      </c>
      <c r="G270" s="5">
        <v>1946645</v>
      </c>
      <c r="H270" s="5">
        <v>634260</v>
      </c>
      <c r="I270" s="8">
        <v>199650</v>
      </c>
      <c r="J270" s="8">
        <v>626500</v>
      </c>
      <c r="K270" s="7">
        <f t="shared" si="62"/>
        <v>3407055</v>
      </c>
      <c r="M270" s="6">
        <v>44828</v>
      </c>
      <c r="N270" s="5">
        <v>1762704</v>
      </c>
      <c r="O270" s="5">
        <v>810630</v>
      </c>
      <c r="P270" s="5">
        <v>89800</v>
      </c>
      <c r="Q270" s="5">
        <f t="shared" si="63"/>
        <v>2663134</v>
      </c>
      <c r="R270" s="5">
        <v>50700</v>
      </c>
      <c r="S270" s="5">
        <f t="shared" si="49"/>
        <v>2713834</v>
      </c>
      <c r="U270" s="6">
        <v>45192</v>
      </c>
      <c r="V270" s="8">
        <v>1448668</v>
      </c>
      <c r="W270" s="8">
        <v>525200</v>
      </c>
      <c r="X270" s="8">
        <v>175320</v>
      </c>
      <c r="Y270" s="26">
        <f t="shared" si="67"/>
        <v>2149188</v>
      </c>
      <c r="Z270" s="8">
        <v>356810</v>
      </c>
      <c r="AA270" s="8">
        <v>0</v>
      </c>
      <c r="AB270" s="26">
        <f t="shared" si="65"/>
        <v>2505998</v>
      </c>
      <c r="AD270" s="6">
        <v>45557</v>
      </c>
      <c r="AE270" s="8">
        <v>2043017</v>
      </c>
      <c r="AF270" s="8">
        <v>1208089</v>
      </c>
      <c r="AG270" s="8">
        <v>289620</v>
      </c>
      <c r="AH270" s="5">
        <f t="shared" si="61"/>
        <v>3540726</v>
      </c>
      <c r="AI270" s="8">
        <v>638900</v>
      </c>
      <c r="AJ270" s="8"/>
      <c r="AK270" s="5">
        <f t="shared" si="69"/>
        <v>4179626</v>
      </c>
      <c r="AM270" s="6">
        <v>45923</v>
      </c>
      <c r="AN270" s="8">
        <v>8052627</v>
      </c>
      <c r="AO270" s="8">
        <v>1636780</v>
      </c>
      <c r="AP270" s="8">
        <v>0</v>
      </c>
      <c r="AQ270" s="5">
        <f t="shared" si="60"/>
        <v>9689407</v>
      </c>
      <c r="AR270" s="8">
        <v>1210820</v>
      </c>
      <c r="AS270" s="5">
        <v>153200</v>
      </c>
      <c r="AT270" s="8">
        <f t="shared" si="68"/>
        <v>1364020</v>
      </c>
      <c r="AU270" s="8">
        <v>731500</v>
      </c>
      <c r="AV270" s="5">
        <f t="shared" si="64"/>
        <v>11784927</v>
      </c>
      <c r="AX270" s="6">
        <v>46289</v>
      </c>
      <c r="BB270" s="5"/>
      <c r="BD270" s="5"/>
      <c r="BG270" s="5"/>
    </row>
    <row r="271" spans="1:59">
      <c r="A271" s="13">
        <v>44101</v>
      </c>
      <c r="B271" s="11">
        <v>1734594</v>
      </c>
      <c r="C271" s="11">
        <v>920260</v>
      </c>
      <c r="D271" s="11">
        <f t="shared" si="66"/>
        <v>2654854</v>
      </c>
      <c r="F271" s="13">
        <v>44465</v>
      </c>
      <c r="G271" s="5">
        <v>1762896</v>
      </c>
      <c r="H271" s="5">
        <v>859200</v>
      </c>
      <c r="I271" s="8">
        <v>338220</v>
      </c>
      <c r="J271" s="8">
        <v>1333600</v>
      </c>
      <c r="K271" s="7">
        <f t="shared" si="62"/>
        <v>4293916</v>
      </c>
      <c r="M271" s="6">
        <v>44829</v>
      </c>
      <c r="N271" s="5">
        <v>2979141</v>
      </c>
      <c r="O271" s="5">
        <v>1528070</v>
      </c>
      <c r="P271" s="5">
        <v>340260</v>
      </c>
      <c r="Q271" s="5">
        <f t="shared" si="63"/>
        <v>4847471</v>
      </c>
      <c r="R271" s="5">
        <v>70740</v>
      </c>
      <c r="S271" s="5">
        <f t="shared" si="49"/>
        <v>4918211</v>
      </c>
      <c r="U271" s="6">
        <v>45193</v>
      </c>
      <c r="V271" s="8">
        <v>5803501</v>
      </c>
      <c r="W271" s="8">
        <v>1984560</v>
      </c>
      <c r="X271" s="8">
        <v>197960</v>
      </c>
      <c r="Y271" s="26">
        <f t="shared" si="67"/>
        <v>7986021</v>
      </c>
      <c r="Z271" s="8">
        <v>603060</v>
      </c>
      <c r="AA271" s="8">
        <v>0</v>
      </c>
      <c r="AB271" s="26">
        <f t="shared" si="65"/>
        <v>8589081</v>
      </c>
      <c r="AD271" s="6">
        <v>45558</v>
      </c>
      <c r="AE271" s="8">
        <v>737312</v>
      </c>
      <c r="AF271" s="8">
        <v>640940</v>
      </c>
      <c r="AG271" s="8">
        <v>18910</v>
      </c>
      <c r="AH271" s="5">
        <f t="shared" si="61"/>
        <v>1397162</v>
      </c>
      <c r="AI271" s="8">
        <v>728000</v>
      </c>
      <c r="AJ271" s="8"/>
      <c r="AK271" s="5">
        <f t="shared" si="69"/>
        <v>2125162</v>
      </c>
      <c r="AM271" s="6">
        <v>45924</v>
      </c>
      <c r="AN271" s="8">
        <v>8090175</v>
      </c>
      <c r="AO271" s="8">
        <v>1757670</v>
      </c>
      <c r="AP271" s="8">
        <v>0</v>
      </c>
      <c r="AQ271" s="5">
        <f t="shared" si="60"/>
        <v>9847845</v>
      </c>
      <c r="AR271" s="8">
        <v>1833880</v>
      </c>
      <c r="AS271" s="5">
        <v>80700</v>
      </c>
      <c r="AT271" s="8">
        <f t="shared" si="68"/>
        <v>1914580</v>
      </c>
      <c r="AU271" s="8">
        <v>432000</v>
      </c>
      <c r="AV271" s="5">
        <f t="shared" si="64"/>
        <v>12194425</v>
      </c>
      <c r="AX271" s="6">
        <v>46290</v>
      </c>
      <c r="BB271" s="5"/>
      <c r="BD271" s="5"/>
      <c r="BG271" s="5"/>
    </row>
    <row r="272" spans="1:59">
      <c r="A272" s="13">
        <v>44102</v>
      </c>
      <c r="B272" s="11">
        <v>1824956</v>
      </c>
      <c r="C272" s="11">
        <v>944020</v>
      </c>
      <c r="D272" s="11">
        <f t="shared" si="66"/>
        <v>2768976</v>
      </c>
      <c r="F272" s="13">
        <v>44466</v>
      </c>
      <c r="G272" s="5">
        <v>6514928</v>
      </c>
      <c r="H272" s="5">
        <v>1584584</v>
      </c>
      <c r="I272" s="8">
        <v>598880</v>
      </c>
      <c r="J272" s="8">
        <v>2598000</v>
      </c>
      <c r="K272" s="7">
        <f t="shared" si="62"/>
        <v>11296392</v>
      </c>
      <c r="M272" s="6">
        <v>44830</v>
      </c>
      <c r="N272" s="5">
        <v>4912382</v>
      </c>
      <c r="O272" s="5">
        <v>1278840</v>
      </c>
      <c r="P272" s="5">
        <v>231490</v>
      </c>
      <c r="Q272" s="5">
        <f t="shared" si="63"/>
        <v>6422712</v>
      </c>
      <c r="R272" s="5">
        <v>181820</v>
      </c>
      <c r="S272" s="5">
        <f t="shared" si="49"/>
        <v>6604532</v>
      </c>
      <c r="U272" s="6">
        <v>45194</v>
      </c>
      <c r="V272" s="8">
        <v>7507892</v>
      </c>
      <c r="W272" s="8">
        <v>2359880</v>
      </c>
      <c r="X272" s="8">
        <v>498140</v>
      </c>
      <c r="Y272" s="26">
        <f t="shared" si="67"/>
        <v>10365912</v>
      </c>
      <c r="Z272" s="8">
        <v>1801290</v>
      </c>
      <c r="AA272" s="8">
        <v>0</v>
      </c>
      <c r="AB272" s="26">
        <f t="shared" si="65"/>
        <v>12167202</v>
      </c>
      <c r="AD272" s="6">
        <v>45559</v>
      </c>
      <c r="AE272" s="8">
        <v>0</v>
      </c>
      <c r="AF272" s="8">
        <v>0</v>
      </c>
      <c r="AG272" s="8">
        <v>37880</v>
      </c>
      <c r="AH272" s="5">
        <f t="shared" si="61"/>
        <v>37880</v>
      </c>
      <c r="AI272" s="8">
        <v>1495826</v>
      </c>
      <c r="AJ272" s="8"/>
      <c r="AK272" s="5">
        <f t="shared" si="69"/>
        <v>1533706</v>
      </c>
      <c r="AM272" s="6">
        <v>45925</v>
      </c>
      <c r="AN272" s="8">
        <v>5561401</v>
      </c>
      <c r="AO272" s="8">
        <v>481900</v>
      </c>
      <c r="AP272" s="8">
        <v>560720</v>
      </c>
      <c r="AQ272" s="5">
        <f t="shared" si="60"/>
        <v>6604021</v>
      </c>
      <c r="AR272" s="8">
        <v>1267660</v>
      </c>
      <c r="AS272" s="5">
        <v>0</v>
      </c>
      <c r="AT272" s="8">
        <f t="shared" si="68"/>
        <v>1267660</v>
      </c>
      <c r="AU272" s="8">
        <v>203500</v>
      </c>
      <c r="AV272" s="5">
        <f t="shared" si="64"/>
        <v>8075181</v>
      </c>
      <c r="AX272" s="6">
        <v>46291</v>
      </c>
      <c r="BB272" s="5"/>
      <c r="BD272" s="5"/>
      <c r="BG272" s="5"/>
    </row>
    <row r="273" spans="1:59">
      <c r="A273" s="13">
        <v>44103</v>
      </c>
      <c r="B273" s="11">
        <v>1323149</v>
      </c>
      <c r="C273" s="11">
        <v>1544560</v>
      </c>
      <c r="D273" s="11">
        <f t="shared" si="66"/>
        <v>2867709</v>
      </c>
      <c r="F273" s="13">
        <v>44467</v>
      </c>
      <c r="G273" s="5">
        <v>8826349</v>
      </c>
      <c r="H273" s="5">
        <v>982700</v>
      </c>
      <c r="I273" s="8">
        <v>406450</v>
      </c>
      <c r="J273" s="8">
        <v>1625300</v>
      </c>
      <c r="K273" s="7">
        <f t="shared" si="62"/>
        <v>11840799</v>
      </c>
      <c r="M273" s="6">
        <v>44831</v>
      </c>
      <c r="N273" s="5">
        <v>15799004</v>
      </c>
      <c r="O273" s="5">
        <v>4450517</v>
      </c>
      <c r="P273" s="5">
        <v>406570</v>
      </c>
      <c r="Q273" s="5">
        <f t="shared" si="63"/>
        <v>20656091</v>
      </c>
      <c r="R273" s="5">
        <v>163920</v>
      </c>
      <c r="S273" s="5">
        <f t="shared" si="49"/>
        <v>20820011</v>
      </c>
      <c r="U273" s="6">
        <v>45195</v>
      </c>
      <c r="V273" s="8">
        <v>5360768</v>
      </c>
      <c r="W273" s="8">
        <v>1473130</v>
      </c>
      <c r="X273" s="8">
        <v>204570</v>
      </c>
      <c r="Y273" s="26">
        <f t="shared" si="67"/>
        <v>7038468</v>
      </c>
      <c r="Z273" s="8">
        <v>364500</v>
      </c>
      <c r="AA273" s="8">
        <v>0</v>
      </c>
      <c r="AB273" s="26">
        <f t="shared" si="65"/>
        <v>7402968</v>
      </c>
      <c r="AD273" s="6">
        <v>45560</v>
      </c>
      <c r="AE273" s="8">
        <v>19126635</v>
      </c>
      <c r="AF273" s="8">
        <v>6046350</v>
      </c>
      <c r="AG273" s="8">
        <v>339810</v>
      </c>
      <c r="AH273" s="5">
        <f t="shared" si="61"/>
        <v>25512795</v>
      </c>
      <c r="AI273" s="8">
        <v>1055550</v>
      </c>
      <c r="AJ273" s="8"/>
      <c r="AK273" s="5">
        <f t="shared" si="69"/>
        <v>26568345</v>
      </c>
      <c r="AM273" s="6">
        <v>45926</v>
      </c>
      <c r="AN273" s="8">
        <v>6127647</v>
      </c>
      <c r="AO273" s="8">
        <v>1309000</v>
      </c>
      <c r="AP273" s="8">
        <v>507010</v>
      </c>
      <c r="AQ273" s="5">
        <f t="shared" si="60"/>
        <v>7943657</v>
      </c>
      <c r="AR273" s="8">
        <v>1366180</v>
      </c>
      <c r="AS273" s="5">
        <v>112400</v>
      </c>
      <c r="AT273" s="8">
        <f t="shared" si="68"/>
        <v>1478580</v>
      </c>
      <c r="AU273" s="8">
        <v>223000</v>
      </c>
      <c r="AV273" s="5">
        <f t="shared" si="64"/>
        <v>9645237</v>
      </c>
      <c r="AX273" s="6">
        <v>46292</v>
      </c>
      <c r="BB273" s="5"/>
      <c r="BD273" s="5"/>
      <c r="BG273" s="5"/>
    </row>
    <row r="274" spans="1:59">
      <c r="A274" s="13">
        <v>44104</v>
      </c>
      <c r="B274" s="11">
        <v>1046460</v>
      </c>
      <c r="C274" s="11">
        <v>2045143</v>
      </c>
      <c r="D274" s="11">
        <f t="shared" si="66"/>
        <v>3091603</v>
      </c>
      <c r="F274" s="13">
        <v>44468</v>
      </c>
      <c r="G274" s="5">
        <v>8309250</v>
      </c>
      <c r="H274" s="5">
        <v>1409786</v>
      </c>
      <c r="I274" s="8">
        <v>586170</v>
      </c>
      <c r="J274" s="8">
        <v>889900</v>
      </c>
      <c r="K274" s="7">
        <f t="shared" si="62"/>
        <v>11195106</v>
      </c>
      <c r="M274" s="6">
        <v>44832</v>
      </c>
      <c r="N274" s="5">
        <v>12591155</v>
      </c>
      <c r="O274" s="5">
        <v>3993280</v>
      </c>
      <c r="P274" s="5">
        <v>199960</v>
      </c>
      <c r="Q274" s="5">
        <f t="shared" si="63"/>
        <v>16784395</v>
      </c>
      <c r="R274" s="5">
        <v>188910</v>
      </c>
      <c r="S274" s="5">
        <f t="shared" si="49"/>
        <v>16973305</v>
      </c>
      <c r="U274" s="6">
        <v>45196</v>
      </c>
      <c r="V274" s="8">
        <v>1009685</v>
      </c>
      <c r="W274" s="8">
        <v>468580</v>
      </c>
      <c r="X274" s="8">
        <v>33900</v>
      </c>
      <c r="Y274" s="26">
        <f t="shared" si="67"/>
        <v>1512165</v>
      </c>
      <c r="Z274" s="8">
        <v>670180</v>
      </c>
      <c r="AA274" s="8">
        <v>0</v>
      </c>
      <c r="AB274" s="26">
        <f t="shared" si="65"/>
        <v>2182345</v>
      </c>
      <c r="AD274" s="6">
        <v>45561</v>
      </c>
      <c r="AE274" s="8">
        <v>7040319</v>
      </c>
      <c r="AF274" s="8">
        <v>1978250</v>
      </c>
      <c r="AG274" s="8">
        <v>236430</v>
      </c>
      <c r="AH274" s="5">
        <f t="shared" si="61"/>
        <v>9254999</v>
      </c>
      <c r="AI274" s="8">
        <v>953730</v>
      </c>
      <c r="AJ274" s="8"/>
      <c r="AK274" s="5">
        <f t="shared" si="69"/>
        <v>10208729</v>
      </c>
      <c r="AM274" s="6">
        <v>45927</v>
      </c>
      <c r="AN274" s="8">
        <v>3135789</v>
      </c>
      <c r="AO274" s="8">
        <v>1360110</v>
      </c>
      <c r="AP274" s="8">
        <v>36100</v>
      </c>
      <c r="AQ274" s="5">
        <f t="shared" si="60"/>
        <v>4531999</v>
      </c>
      <c r="AR274" s="8">
        <v>917570</v>
      </c>
      <c r="AS274" s="5">
        <v>126800</v>
      </c>
      <c r="AT274" s="8">
        <f t="shared" si="68"/>
        <v>1044370</v>
      </c>
      <c r="AU274" s="8">
        <v>357000</v>
      </c>
      <c r="AV274" s="5">
        <f t="shared" si="64"/>
        <v>5933369</v>
      </c>
      <c r="AX274" s="6">
        <v>46293</v>
      </c>
      <c r="BB274" s="5"/>
      <c r="BD274" s="5"/>
      <c r="BG274" s="5"/>
    </row>
    <row r="275" spans="1:59">
      <c r="A275" s="13">
        <v>44105</v>
      </c>
      <c r="B275" s="11">
        <v>3616715</v>
      </c>
      <c r="C275" s="11">
        <v>1748830</v>
      </c>
      <c r="D275" s="11">
        <f t="shared" si="66"/>
        <v>5365545</v>
      </c>
      <c r="F275" s="13">
        <v>44469</v>
      </c>
      <c r="G275" s="5">
        <v>11457267</v>
      </c>
      <c r="H275" s="5">
        <v>1179030</v>
      </c>
      <c r="I275" s="8">
        <v>374360</v>
      </c>
      <c r="J275" s="8">
        <v>621600</v>
      </c>
      <c r="K275" s="7">
        <f t="shared" si="62"/>
        <v>13632257</v>
      </c>
      <c r="M275" s="6">
        <v>44833</v>
      </c>
      <c r="N275" s="5">
        <v>14118795</v>
      </c>
      <c r="O275" s="5">
        <v>3173630</v>
      </c>
      <c r="P275" s="5">
        <v>45600</v>
      </c>
      <c r="Q275" s="5">
        <f t="shared" si="63"/>
        <v>17338025</v>
      </c>
      <c r="R275" s="5">
        <v>69230</v>
      </c>
      <c r="S275" s="5">
        <f t="shared" si="49"/>
        <v>17407255</v>
      </c>
      <c r="U275" s="6">
        <v>45197</v>
      </c>
      <c r="V275" s="8">
        <v>3398302</v>
      </c>
      <c r="W275" s="8">
        <v>100010</v>
      </c>
      <c r="X275" s="8">
        <v>100250</v>
      </c>
      <c r="Y275" s="26">
        <f t="shared" si="67"/>
        <v>3598562</v>
      </c>
      <c r="Z275" s="8">
        <v>552630</v>
      </c>
      <c r="AA275" s="8">
        <v>0</v>
      </c>
      <c r="AB275" s="26">
        <f t="shared" si="65"/>
        <v>4151192</v>
      </c>
      <c r="AD275" s="6">
        <v>45562</v>
      </c>
      <c r="AE275" s="8">
        <v>5845597</v>
      </c>
      <c r="AF275" s="8">
        <v>1890450</v>
      </c>
      <c r="AG275" s="8">
        <v>175570</v>
      </c>
      <c r="AH275" s="5">
        <f t="shared" si="61"/>
        <v>7911617</v>
      </c>
      <c r="AI275" s="8">
        <v>453560</v>
      </c>
      <c r="AJ275" s="8"/>
      <c r="AK275" s="5">
        <f t="shared" si="69"/>
        <v>8365177</v>
      </c>
      <c r="AM275" s="6">
        <v>45928</v>
      </c>
      <c r="AN275" s="8">
        <v>4711149</v>
      </c>
      <c r="AO275" s="8">
        <v>1860590</v>
      </c>
      <c r="AP275" s="8">
        <v>404280</v>
      </c>
      <c r="AQ275" s="5">
        <f t="shared" si="60"/>
        <v>6976019</v>
      </c>
      <c r="AR275" s="8">
        <v>1544750</v>
      </c>
      <c r="AS275" s="5">
        <v>422200</v>
      </c>
      <c r="AT275" s="8">
        <f t="shared" si="68"/>
        <v>1966950</v>
      </c>
      <c r="AU275" s="8">
        <v>285500</v>
      </c>
      <c r="AV275" s="5">
        <f t="shared" si="64"/>
        <v>9228469</v>
      </c>
      <c r="AX275" s="6">
        <v>46294</v>
      </c>
      <c r="BB275" s="5"/>
      <c r="BD275" s="5"/>
      <c r="BG275" s="5"/>
    </row>
    <row r="276" spans="1:59">
      <c r="A276" s="13">
        <v>44106</v>
      </c>
      <c r="B276" s="11">
        <v>2300454</v>
      </c>
      <c r="C276" s="11">
        <v>1665210</v>
      </c>
      <c r="D276" s="11">
        <f t="shared" si="66"/>
        <v>3965664</v>
      </c>
      <c r="F276" s="13">
        <v>44470</v>
      </c>
      <c r="G276" s="5">
        <v>8057489</v>
      </c>
      <c r="H276" s="5">
        <v>1050270</v>
      </c>
      <c r="I276" s="8">
        <v>498410</v>
      </c>
      <c r="J276" s="8">
        <v>658300</v>
      </c>
      <c r="K276" s="7">
        <f t="shared" si="62"/>
        <v>10264469</v>
      </c>
      <c r="M276" s="6">
        <v>44834</v>
      </c>
      <c r="N276" s="5">
        <v>19118535</v>
      </c>
      <c r="O276" s="5">
        <v>4093170</v>
      </c>
      <c r="P276" s="5">
        <v>82660</v>
      </c>
      <c r="Q276" s="5">
        <f t="shared" si="63"/>
        <v>23294365</v>
      </c>
      <c r="R276" s="5">
        <v>134340</v>
      </c>
      <c r="S276" s="5">
        <f t="shared" si="49"/>
        <v>23428705</v>
      </c>
      <c r="U276" s="6">
        <v>45198</v>
      </c>
      <c r="V276" s="8">
        <v>6451253</v>
      </c>
      <c r="W276" s="8">
        <v>462700</v>
      </c>
      <c r="X276" s="8">
        <v>40620</v>
      </c>
      <c r="Y276" s="26">
        <f t="shared" si="67"/>
        <v>6954573</v>
      </c>
      <c r="Z276" s="8">
        <v>492670</v>
      </c>
      <c r="AA276" s="8">
        <v>0</v>
      </c>
      <c r="AB276" s="26">
        <f t="shared" si="65"/>
        <v>7447243</v>
      </c>
      <c r="AD276" s="6">
        <v>45563</v>
      </c>
      <c r="AE276" s="8">
        <v>3260929</v>
      </c>
      <c r="AF276" s="8">
        <v>767070</v>
      </c>
      <c r="AG276" s="8">
        <v>201350</v>
      </c>
      <c r="AH276" s="5">
        <f t="shared" si="61"/>
        <v>4229349</v>
      </c>
      <c r="AI276" s="8">
        <v>277020</v>
      </c>
      <c r="AJ276" s="8"/>
      <c r="AK276" s="5">
        <f t="shared" si="69"/>
        <v>4506369</v>
      </c>
      <c r="AM276" s="6">
        <v>45929</v>
      </c>
      <c r="AN276" s="8">
        <v>6827984</v>
      </c>
      <c r="AO276" s="8">
        <v>1346630</v>
      </c>
      <c r="AP276" s="8">
        <v>373410</v>
      </c>
      <c r="AQ276" s="5">
        <f t="shared" si="60"/>
        <v>8548024</v>
      </c>
      <c r="AR276" s="8">
        <v>2425810</v>
      </c>
      <c r="AS276" s="5">
        <v>95100</v>
      </c>
      <c r="AT276" s="8">
        <f t="shared" si="68"/>
        <v>2520910</v>
      </c>
      <c r="AU276" s="8">
        <v>305700</v>
      </c>
      <c r="AV276" s="5">
        <f>AQ276+AT276+AU276</f>
        <v>11374634</v>
      </c>
      <c r="AX276" s="6">
        <v>46295</v>
      </c>
      <c r="BB276" s="5"/>
      <c r="BD276" s="5"/>
      <c r="BG276" s="5"/>
    </row>
    <row r="277" spans="1:59">
      <c r="A277" s="13">
        <v>44107</v>
      </c>
      <c r="B277" s="11">
        <v>4091162</v>
      </c>
      <c r="C277" s="11">
        <v>1972820</v>
      </c>
      <c r="D277" s="11">
        <f t="shared" si="66"/>
        <v>6063982</v>
      </c>
      <c r="F277" s="13">
        <v>44471</v>
      </c>
      <c r="G277" s="5">
        <v>1994828</v>
      </c>
      <c r="H277" s="5">
        <v>627670</v>
      </c>
      <c r="I277" s="8">
        <v>295760</v>
      </c>
      <c r="J277" s="8">
        <v>225300</v>
      </c>
      <c r="K277" s="7">
        <f t="shared" si="62"/>
        <v>3143558</v>
      </c>
      <c r="M277" s="6">
        <v>44835</v>
      </c>
      <c r="N277" s="5">
        <v>13066130</v>
      </c>
      <c r="O277" s="5">
        <v>2954277</v>
      </c>
      <c r="P277" s="5">
        <v>43140</v>
      </c>
      <c r="Q277" s="5">
        <f t="shared" si="63"/>
        <v>16063547</v>
      </c>
      <c r="R277" s="5">
        <v>89130</v>
      </c>
      <c r="S277" s="5">
        <f t="shared" si="49"/>
        <v>16152677</v>
      </c>
      <c r="U277" s="6">
        <v>45199</v>
      </c>
      <c r="V277" s="8">
        <v>3894991</v>
      </c>
      <c r="W277" s="8">
        <v>513080</v>
      </c>
      <c r="X277" s="8">
        <v>161190</v>
      </c>
      <c r="Y277" s="26">
        <f>SUM(V277:X277)</f>
        <v>4569261</v>
      </c>
      <c r="Z277" s="8">
        <v>562000</v>
      </c>
      <c r="AA277" s="8">
        <v>0</v>
      </c>
      <c r="AB277" s="26">
        <f t="shared" si="65"/>
        <v>5131261</v>
      </c>
      <c r="AD277" s="6">
        <v>45564</v>
      </c>
      <c r="AE277" s="8">
        <v>6086387</v>
      </c>
      <c r="AF277" s="8">
        <v>1879260</v>
      </c>
      <c r="AG277" s="8">
        <v>59710</v>
      </c>
      <c r="AH277" s="5">
        <f t="shared" si="61"/>
        <v>8025357</v>
      </c>
      <c r="AI277" s="8">
        <v>767940</v>
      </c>
      <c r="AJ277" s="8"/>
      <c r="AK277" s="5">
        <f t="shared" si="69"/>
        <v>8793297</v>
      </c>
      <c r="AM277" s="6">
        <v>45930</v>
      </c>
      <c r="AN277" s="8">
        <v>15434967</v>
      </c>
      <c r="AO277" s="8">
        <v>2304680</v>
      </c>
      <c r="AP277" s="8">
        <v>472180</v>
      </c>
      <c r="AQ277" s="5">
        <f t="shared" si="60"/>
        <v>18211827</v>
      </c>
      <c r="AR277" s="8">
        <v>2550210</v>
      </c>
      <c r="AS277" s="5">
        <v>148680</v>
      </c>
      <c r="AT277" s="8">
        <f t="shared" si="68"/>
        <v>2698890</v>
      </c>
      <c r="AU277" s="8">
        <v>416000</v>
      </c>
      <c r="AV277" s="5">
        <f>AQ277+AT277+AU277</f>
        <v>21326717</v>
      </c>
      <c r="AX277" s="6">
        <v>46296</v>
      </c>
      <c r="BB277" s="5"/>
      <c r="BD277" s="5"/>
      <c r="BG277" s="5"/>
    </row>
    <row r="278" spans="1:59">
      <c r="A278" s="13">
        <v>44108</v>
      </c>
      <c r="B278" s="11">
        <v>9958292</v>
      </c>
      <c r="C278" s="11">
        <v>6222790</v>
      </c>
      <c r="D278" s="11">
        <f t="shared" si="66"/>
        <v>16181082</v>
      </c>
      <c r="F278" s="13">
        <v>44472</v>
      </c>
      <c r="G278" s="5">
        <v>8057489</v>
      </c>
      <c r="H278" s="5">
        <v>1050270</v>
      </c>
      <c r="I278" s="8">
        <v>291600</v>
      </c>
      <c r="J278" s="8">
        <v>1532000</v>
      </c>
      <c r="K278" s="7">
        <f t="shared" si="62"/>
        <v>10931359</v>
      </c>
      <c r="M278" s="6">
        <v>44836</v>
      </c>
      <c r="N278" s="5">
        <v>851082</v>
      </c>
      <c r="O278" s="5">
        <v>755480</v>
      </c>
      <c r="P278" s="5">
        <v>84950</v>
      </c>
      <c r="Q278" s="5">
        <f t="shared" si="63"/>
        <v>1691512</v>
      </c>
      <c r="R278" s="5">
        <v>18900</v>
      </c>
      <c r="S278" s="5">
        <f t="shared" si="49"/>
        <v>1710412</v>
      </c>
      <c r="U278" s="6">
        <v>45200</v>
      </c>
      <c r="V278" s="8">
        <v>3813165</v>
      </c>
      <c r="W278" s="8">
        <v>252600</v>
      </c>
      <c r="X278" s="8">
        <v>132960</v>
      </c>
      <c r="Y278" s="26">
        <f>SUM(V278:X278)</f>
        <v>4198725</v>
      </c>
      <c r="Z278" s="8">
        <v>798960</v>
      </c>
      <c r="AA278" s="8">
        <v>0</v>
      </c>
      <c r="AB278" s="26">
        <f t="shared" si="65"/>
        <v>4997685</v>
      </c>
      <c r="AD278" s="6">
        <v>45565</v>
      </c>
      <c r="AE278" s="8">
        <v>7373335</v>
      </c>
      <c r="AF278" s="8">
        <v>1873280</v>
      </c>
      <c r="AG278" s="8">
        <v>201270</v>
      </c>
      <c r="AH278" s="5">
        <f t="shared" si="61"/>
        <v>9447885</v>
      </c>
      <c r="AI278" s="8">
        <v>961160</v>
      </c>
      <c r="AJ278" s="8"/>
      <c r="AK278" s="5">
        <f t="shared" si="69"/>
        <v>10409045</v>
      </c>
      <c r="AM278" s="6">
        <v>45931</v>
      </c>
      <c r="AN278" s="8">
        <v>27040911</v>
      </c>
      <c r="AO278" s="8">
        <v>3782140</v>
      </c>
      <c r="AP278" s="8">
        <v>153050</v>
      </c>
      <c r="AQ278" s="5">
        <f t="shared" si="60"/>
        <v>30976101</v>
      </c>
      <c r="AR278" s="8">
        <v>4268560</v>
      </c>
      <c r="AS278" s="5">
        <v>0</v>
      </c>
      <c r="AT278" s="8">
        <f t="shared" si="68"/>
        <v>4268560</v>
      </c>
      <c r="AU278" s="8">
        <v>107000</v>
      </c>
      <c r="AV278" s="5">
        <f t="shared" ref="AV278:AV343" si="70">AQ278+AT278+AU278</f>
        <v>35351661</v>
      </c>
      <c r="AX278" s="6">
        <v>46297</v>
      </c>
      <c r="BB278" s="5"/>
      <c r="BD278" s="5"/>
      <c r="BG278" s="5"/>
    </row>
    <row r="279" spans="1:59">
      <c r="A279" s="13">
        <v>44109</v>
      </c>
      <c r="B279" s="11">
        <v>6202648</v>
      </c>
      <c r="C279" s="11">
        <v>4823030</v>
      </c>
      <c r="D279" s="11">
        <f t="shared" si="66"/>
        <v>11025678</v>
      </c>
      <c r="F279" s="13">
        <v>44473</v>
      </c>
      <c r="G279" s="11">
        <v>8135807</v>
      </c>
      <c r="H279" s="11">
        <v>1831400</v>
      </c>
      <c r="I279" s="11">
        <v>971850</v>
      </c>
      <c r="J279" s="11">
        <v>339400</v>
      </c>
      <c r="K279" s="7">
        <f t="shared" si="62"/>
        <v>11278457</v>
      </c>
      <c r="M279" s="6">
        <v>44837</v>
      </c>
      <c r="N279" s="5">
        <v>468999</v>
      </c>
      <c r="O279" s="5">
        <v>992700</v>
      </c>
      <c r="P279" s="5">
        <v>269700</v>
      </c>
      <c r="Q279" s="5">
        <f t="shared" si="63"/>
        <v>1731399</v>
      </c>
      <c r="R279" s="5">
        <v>158160</v>
      </c>
      <c r="S279" s="5">
        <f t="shared" si="49"/>
        <v>1889559</v>
      </c>
      <c r="U279" s="6">
        <v>45201</v>
      </c>
      <c r="V279" s="8">
        <v>9882210</v>
      </c>
      <c r="W279" s="8">
        <v>1135775</v>
      </c>
      <c r="X279" s="8">
        <v>184170</v>
      </c>
      <c r="Y279" s="26">
        <f t="shared" ref="Y279:Y342" si="71">SUM(V279:X279)</f>
        <v>11202155</v>
      </c>
      <c r="Z279" s="8">
        <v>614040</v>
      </c>
      <c r="AA279" s="8">
        <v>0</v>
      </c>
      <c r="AB279" s="26">
        <f t="shared" si="65"/>
        <v>11816195</v>
      </c>
      <c r="AD279" s="6">
        <v>45566</v>
      </c>
      <c r="AE279" s="8">
        <v>1552435</v>
      </c>
      <c r="AF279" s="8">
        <v>406060</v>
      </c>
      <c r="AG279" s="8">
        <v>130840</v>
      </c>
      <c r="AH279" s="5">
        <f t="shared" si="61"/>
        <v>2089335</v>
      </c>
      <c r="AI279" s="8">
        <v>1082500</v>
      </c>
      <c r="AJ279" s="8"/>
      <c r="AK279" s="5">
        <f t="shared" si="69"/>
        <v>3171835</v>
      </c>
      <c r="AM279" s="6">
        <v>45932</v>
      </c>
      <c r="AN279" s="8">
        <v>10480476</v>
      </c>
      <c r="AO279" s="8">
        <v>1792350</v>
      </c>
      <c r="AP279" s="8">
        <v>123100</v>
      </c>
      <c r="AQ279" s="5">
        <f t="shared" si="60"/>
        <v>12395926</v>
      </c>
      <c r="AR279" s="8">
        <v>1082878</v>
      </c>
      <c r="AS279" s="5">
        <v>154200</v>
      </c>
      <c r="AT279" s="8">
        <f t="shared" si="68"/>
        <v>1237078</v>
      </c>
      <c r="AU279" s="8">
        <v>90380</v>
      </c>
      <c r="AV279" s="5">
        <f t="shared" si="70"/>
        <v>13723384</v>
      </c>
      <c r="AX279" s="6">
        <v>46298</v>
      </c>
      <c r="BB279" s="5"/>
      <c r="BD279" s="5"/>
      <c r="BG279" s="5"/>
    </row>
    <row r="280" spans="1:59">
      <c r="A280" s="13">
        <v>44110</v>
      </c>
      <c r="B280" s="11">
        <v>5114729</v>
      </c>
      <c r="C280" s="11">
        <v>3576660</v>
      </c>
      <c r="D280" s="11">
        <f t="shared" si="66"/>
        <v>8691389</v>
      </c>
      <c r="F280" s="13">
        <v>44474</v>
      </c>
      <c r="G280" s="11">
        <v>14248534</v>
      </c>
      <c r="H280" s="11">
        <v>2544305</v>
      </c>
      <c r="I280" s="11">
        <v>455070</v>
      </c>
      <c r="J280" s="11">
        <v>247600</v>
      </c>
      <c r="K280" s="7">
        <f t="shared" si="62"/>
        <v>17495509</v>
      </c>
      <c r="M280" s="6">
        <v>44838</v>
      </c>
      <c r="N280" s="5">
        <v>1712616</v>
      </c>
      <c r="O280" s="5">
        <v>1305210</v>
      </c>
      <c r="P280" s="5">
        <v>110370</v>
      </c>
      <c r="Q280" s="5">
        <f t="shared" si="63"/>
        <v>3128196</v>
      </c>
      <c r="R280" s="5">
        <v>241230</v>
      </c>
      <c r="S280" s="5">
        <f t="shared" si="49"/>
        <v>3369426</v>
      </c>
      <c r="U280" s="6">
        <v>45202</v>
      </c>
      <c r="V280" s="8">
        <v>10349425</v>
      </c>
      <c r="W280" s="8">
        <v>1280720</v>
      </c>
      <c r="X280" s="8">
        <v>167910</v>
      </c>
      <c r="Y280" s="26">
        <f t="shared" si="71"/>
        <v>11798055</v>
      </c>
      <c r="Z280" s="8">
        <v>1053050</v>
      </c>
      <c r="AA280" s="8">
        <v>0</v>
      </c>
      <c r="AB280" s="26">
        <f t="shared" si="65"/>
        <v>12851105</v>
      </c>
      <c r="AD280" s="6">
        <v>45567</v>
      </c>
      <c r="AE280" s="8">
        <v>12035287</v>
      </c>
      <c r="AF280" s="8">
        <v>2263845</v>
      </c>
      <c r="AG280" s="8">
        <v>369790</v>
      </c>
      <c r="AH280" s="5">
        <f t="shared" si="61"/>
        <v>14668922</v>
      </c>
      <c r="AI280" s="8">
        <v>2834610</v>
      </c>
      <c r="AJ280" s="8"/>
      <c r="AK280" s="5">
        <f t="shared" si="69"/>
        <v>17503532</v>
      </c>
      <c r="AM280" s="6">
        <v>45933</v>
      </c>
      <c r="AN280" s="8">
        <v>3890486</v>
      </c>
      <c r="AO280" s="8">
        <v>871290</v>
      </c>
      <c r="AP280" s="8">
        <v>128480</v>
      </c>
      <c r="AQ280" s="5">
        <f t="shared" si="60"/>
        <v>4890256</v>
      </c>
      <c r="AR280" s="8">
        <v>789550</v>
      </c>
      <c r="AS280" s="5">
        <v>185900</v>
      </c>
      <c r="AT280" s="8">
        <f t="shared" si="68"/>
        <v>975450</v>
      </c>
      <c r="AU280" s="8">
        <v>100000</v>
      </c>
      <c r="AV280" s="5">
        <f t="shared" si="70"/>
        <v>5965706</v>
      </c>
      <c r="AX280" s="6">
        <v>46299</v>
      </c>
      <c r="BB280" s="5"/>
      <c r="BD280" s="5"/>
      <c r="BG280" s="5"/>
    </row>
    <row r="281" spans="1:59">
      <c r="A281" s="13">
        <v>44111</v>
      </c>
      <c r="B281" s="11">
        <v>4282433</v>
      </c>
      <c r="C281" s="11">
        <v>2305900</v>
      </c>
      <c r="D281" s="11">
        <f t="shared" si="66"/>
        <v>6588333</v>
      </c>
      <c r="F281" s="13">
        <v>44475</v>
      </c>
      <c r="G281" s="11">
        <v>13553809</v>
      </c>
      <c r="H281" s="11">
        <v>2289424</v>
      </c>
      <c r="I281" s="11">
        <v>816920</v>
      </c>
      <c r="J281" s="11">
        <v>207700</v>
      </c>
      <c r="K281" s="7">
        <f t="shared" si="62"/>
        <v>16867853</v>
      </c>
      <c r="M281" s="6">
        <v>44839</v>
      </c>
      <c r="N281" s="5">
        <v>3441867</v>
      </c>
      <c r="O281" s="5">
        <v>1455570</v>
      </c>
      <c r="P281" s="5">
        <v>146320</v>
      </c>
      <c r="Q281" s="5">
        <f t="shared" si="63"/>
        <v>5043757</v>
      </c>
      <c r="R281" s="5">
        <v>190540</v>
      </c>
      <c r="S281" s="5">
        <f t="shared" si="49"/>
        <v>5234297</v>
      </c>
      <c r="U281" s="6">
        <v>45203</v>
      </c>
      <c r="V281" s="8">
        <v>1035685</v>
      </c>
      <c r="W281" s="8">
        <v>410710</v>
      </c>
      <c r="X281" s="8">
        <v>373130</v>
      </c>
      <c r="Y281" s="26">
        <f t="shared" si="71"/>
        <v>1819525</v>
      </c>
      <c r="Z281" s="8">
        <v>876860</v>
      </c>
      <c r="AA281" s="8">
        <v>0</v>
      </c>
      <c r="AB281" s="26">
        <f t="shared" si="65"/>
        <v>2696385</v>
      </c>
      <c r="AD281" s="6">
        <v>45568</v>
      </c>
      <c r="AE281" s="8">
        <v>2395002</v>
      </c>
      <c r="AF281" s="8">
        <v>586060</v>
      </c>
      <c r="AG281" s="8">
        <v>224820</v>
      </c>
      <c r="AH281" s="5">
        <f t="shared" si="61"/>
        <v>3205882</v>
      </c>
      <c r="AI281" s="8">
        <v>920970</v>
      </c>
      <c r="AJ281" s="8"/>
      <c r="AK281" s="5">
        <f t="shared" si="69"/>
        <v>4126852</v>
      </c>
      <c r="AM281" s="6">
        <v>45934</v>
      </c>
      <c r="AN281" s="8">
        <v>3374728</v>
      </c>
      <c r="AO281" s="8">
        <v>547970</v>
      </c>
      <c r="AP281" s="8">
        <v>50020</v>
      </c>
      <c r="AQ281" s="5">
        <f t="shared" si="60"/>
        <v>3972718</v>
      </c>
      <c r="AR281" s="8">
        <v>1279670</v>
      </c>
      <c r="AS281" s="5">
        <v>0</v>
      </c>
      <c r="AT281" s="8">
        <f t="shared" si="68"/>
        <v>1279670</v>
      </c>
      <c r="AU281" s="8">
        <v>41000</v>
      </c>
      <c r="AV281" s="5">
        <f t="shared" si="70"/>
        <v>5293388</v>
      </c>
      <c r="AX281" s="6">
        <v>46300</v>
      </c>
      <c r="BB281" s="5"/>
      <c r="BD281" s="5"/>
      <c r="BG281" s="5"/>
    </row>
    <row r="282" spans="1:59">
      <c r="A282" s="13">
        <v>44112</v>
      </c>
      <c r="B282" s="11">
        <v>2988326</v>
      </c>
      <c r="C282" s="11">
        <v>1720460</v>
      </c>
      <c r="D282" s="11">
        <f t="shared" si="66"/>
        <v>4708786</v>
      </c>
      <c r="F282" s="13">
        <v>44476</v>
      </c>
      <c r="G282" s="11">
        <v>3849337</v>
      </c>
      <c r="H282" s="11">
        <v>1199200</v>
      </c>
      <c r="I282" s="11">
        <v>353460</v>
      </c>
      <c r="J282" s="11">
        <v>143200</v>
      </c>
      <c r="K282" s="7">
        <f t="shared" si="62"/>
        <v>5545197</v>
      </c>
      <c r="M282" s="6">
        <v>44840</v>
      </c>
      <c r="N282" s="5">
        <v>9768881</v>
      </c>
      <c r="O282" s="5">
        <v>2872200</v>
      </c>
      <c r="P282" s="5">
        <v>273740</v>
      </c>
      <c r="Q282" s="5">
        <f t="shared" si="63"/>
        <v>12914821</v>
      </c>
      <c r="R282" s="5">
        <v>167410</v>
      </c>
      <c r="S282" s="5">
        <f t="shared" si="49"/>
        <v>13082231</v>
      </c>
      <c r="U282" s="6">
        <v>45204</v>
      </c>
      <c r="V282" s="8">
        <v>1270870</v>
      </c>
      <c r="W282" s="8">
        <v>390520</v>
      </c>
      <c r="X282" s="8">
        <v>160720</v>
      </c>
      <c r="Y282" s="26">
        <f t="shared" si="71"/>
        <v>1822110</v>
      </c>
      <c r="Z282" s="8">
        <v>199000</v>
      </c>
      <c r="AA282" s="8">
        <v>0</v>
      </c>
      <c r="AB282" s="26">
        <f t="shared" si="65"/>
        <v>2021110</v>
      </c>
      <c r="AD282" s="6">
        <v>45569</v>
      </c>
      <c r="AE282" s="8">
        <v>7673045</v>
      </c>
      <c r="AF282" s="8">
        <v>1100030</v>
      </c>
      <c r="AG282" s="8">
        <v>270880</v>
      </c>
      <c r="AH282" s="5">
        <f t="shared" si="61"/>
        <v>9043955</v>
      </c>
      <c r="AI282" s="8">
        <v>702750</v>
      </c>
      <c r="AJ282" s="8"/>
      <c r="AK282" s="5">
        <f t="shared" si="69"/>
        <v>9746705</v>
      </c>
      <c r="AM282" s="6">
        <v>45935</v>
      </c>
      <c r="AN282" s="8">
        <v>3338064</v>
      </c>
      <c r="AO282" s="8">
        <v>637970</v>
      </c>
      <c r="AP282" s="8">
        <v>130120</v>
      </c>
      <c r="AQ282" s="5">
        <f t="shared" ref="AQ282:AQ345" si="72">SUM(AN282:AP282)</f>
        <v>4106154</v>
      </c>
      <c r="AR282" s="8">
        <v>854870</v>
      </c>
      <c r="AS282" s="5">
        <v>31700</v>
      </c>
      <c r="AT282" s="8">
        <f t="shared" si="68"/>
        <v>886570</v>
      </c>
      <c r="AU282" s="8">
        <v>32000</v>
      </c>
      <c r="AV282" s="5">
        <f t="shared" si="70"/>
        <v>5024724</v>
      </c>
      <c r="AX282" s="6">
        <v>46301</v>
      </c>
      <c r="BB282" s="5"/>
      <c r="BD282" s="5"/>
      <c r="BG282" s="5"/>
    </row>
    <row r="283" spans="1:59">
      <c r="A283" s="13">
        <v>44113</v>
      </c>
      <c r="B283" s="11">
        <v>2203487</v>
      </c>
      <c r="C283" s="11">
        <v>1035890</v>
      </c>
      <c r="D283" s="11">
        <f t="shared" si="66"/>
        <v>3239377</v>
      </c>
      <c r="F283" s="13">
        <v>44477</v>
      </c>
      <c r="G283" s="11">
        <v>9227779</v>
      </c>
      <c r="H283" s="11">
        <v>1764195</v>
      </c>
      <c r="I283" s="11">
        <v>312220</v>
      </c>
      <c r="J283" s="11">
        <v>182000</v>
      </c>
      <c r="K283" s="7">
        <f t="shared" si="62"/>
        <v>11486194</v>
      </c>
      <c r="M283" s="6">
        <v>44841</v>
      </c>
      <c r="N283" s="5">
        <v>6097528</v>
      </c>
      <c r="O283" s="5">
        <v>963850</v>
      </c>
      <c r="P283" s="5">
        <v>52230</v>
      </c>
      <c r="Q283" s="5">
        <f t="shared" si="63"/>
        <v>7113608</v>
      </c>
      <c r="R283" s="5">
        <v>113320</v>
      </c>
      <c r="S283" s="5">
        <f t="shared" si="49"/>
        <v>7226928</v>
      </c>
      <c r="U283" s="6">
        <v>45205</v>
      </c>
      <c r="V283" s="8">
        <v>11999041</v>
      </c>
      <c r="W283" s="8">
        <v>3130050</v>
      </c>
      <c r="X283" s="8">
        <v>240730</v>
      </c>
      <c r="Y283" s="26">
        <f t="shared" si="71"/>
        <v>15369821</v>
      </c>
      <c r="Z283" s="8">
        <v>1702757</v>
      </c>
      <c r="AA283" s="8">
        <v>0</v>
      </c>
      <c r="AB283" s="26">
        <f t="shared" si="65"/>
        <v>17072578</v>
      </c>
      <c r="AD283" s="6">
        <v>45570</v>
      </c>
      <c r="AE283" s="8">
        <v>2089599</v>
      </c>
      <c r="AF283" s="8">
        <v>925710</v>
      </c>
      <c r="AG283" s="8">
        <v>117520</v>
      </c>
      <c r="AH283" s="5">
        <f t="shared" si="61"/>
        <v>3132829</v>
      </c>
      <c r="AI283" s="8">
        <v>596150</v>
      </c>
      <c r="AJ283" s="8"/>
      <c r="AK283" s="5">
        <f t="shared" si="69"/>
        <v>3728979</v>
      </c>
      <c r="AM283" s="6">
        <v>45936</v>
      </c>
      <c r="AN283" s="8">
        <v>5625210</v>
      </c>
      <c r="AO283" s="8">
        <v>709740</v>
      </c>
      <c r="AP283" s="8">
        <v>237220</v>
      </c>
      <c r="AQ283" s="5">
        <f t="shared" si="72"/>
        <v>6572170</v>
      </c>
      <c r="AR283" s="8">
        <v>1328120</v>
      </c>
      <c r="AS283" s="5">
        <v>31700</v>
      </c>
      <c r="AT283" s="8">
        <f t="shared" si="68"/>
        <v>1359820</v>
      </c>
      <c r="AU283" s="8">
        <v>41000</v>
      </c>
      <c r="AV283" s="5">
        <f t="shared" si="70"/>
        <v>7972990</v>
      </c>
      <c r="AX283" s="6">
        <v>46302</v>
      </c>
      <c r="BB283" s="5"/>
      <c r="BD283" s="5"/>
      <c r="BG283" s="5"/>
    </row>
    <row r="284" spans="1:59">
      <c r="A284" s="13">
        <v>44114</v>
      </c>
      <c r="B284" s="11">
        <v>2009425</v>
      </c>
      <c r="C284" s="11">
        <v>1244550</v>
      </c>
      <c r="D284" s="11">
        <f t="shared" si="66"/>
        <v>3253975</v>
      </c>
      <c r="F284" s="13">
        <v>44478</v>
      </c>
      <c r="G284" s="11">
        <v>2068073</v>
      </c>
      <c r="H284" s="11">
        <v>888170</v>
      </c>
      <c r="I284" s="11">
        <v>66600</v>
      </c>
      <c r="J284" s="11">
        <v>71600</v>
      </c>
      <c r="K284" s="7">
        <f t="shared" si="62"/>
        <v>3094443</v>
      </c>
      <c r="M284" s="6">
        <v>44842</v>
      </c>
      <c r="N284" s="5">
        <v>1220877</v>
      </c>
      <c r="O284" s="5">
        <v>1009110</v>
      </c>
      <c r="P284" s="5">
        <v>266960</v>
      </c>
      <c r="Q284" s="5">
        <f t="shared" si="63"/>
        <v>2496947</v>
      </c>
      <c r="R284" s="5">
        <v>184700</v>
      </c>
      <c r="S284" s="5">
        <f t="shared" si="49"/>
        <v>2681647</v>
      </c>
      <c r="U284" s="6">
        <v>45206</v>
      </c>
      <c r="V284" s="8">
        <v>1004219</v>
      </c>
      <c r="W284" s="8">
        <v>629210</v>
      </c>
      <c r="X284" s="8">
        <v>261120</v>
      </c>
      <c r="Y284" s="26">
        <f t="shared" si="71"/>
        <v>1894549</v>
      </c>
      <c r="Z284" s="8">
        <v>497700</v>
      </c>
      <c r="AA284" s="8">
        <v>0</v>
      </c>
      <c r="AB284" s="26">
        <f t="shared" si="65"/>
        <v>2392249</v>
      </c>
      <c r="AD284" s="6">
        <v>45571</v>
      </c>
      <c r="AE284" s="8">
        <v>2034359</v>
      </c>
      <c r="AF284" s="8">
        <v>925710</v>
      </c>
      <c r="AG284" s="8">
        <v>210250</v>
      </c>
      <c r="AH284" s="5">
        <f t="shared" si="61"/>
        <v>3170319</v>
      </c>
      <c r="AI284" s="8">
        <v>1062270</v>
      </c>
      <c r="AJ284" s="8"/>
      <c r="AK284" s="5">
        <f t="shared" si="69"/>
        <v>4232589</v>
      </c>
      <c r="AM284" s="6">
        <v>45937</v>
      </c>
      <c r="AN284" s="8">
        <v>5940287</v>
      </c>
      <c r="AO284" s="8">
        <v>968600</v>
      </c>
      <c r="AP284" s="8">
        <v>55240</v>
      </c>
      <c r="AQ284" s="5">
        <f t="shared" si="72"/>
        <v>6964127</v>
      </c>
      <c r="AR284" s="8">
        <v>1012810</v>
      </c>
      <c r="AS284" s="5">
        <v>0</v>
      </c>
      <c r="AT284" s="8">
        <f t="shared" si="68"/>
        <v>1012810</v>
      </c>
      <c r="AU284" s="8">
        <v>50000</v>
      </c>
      <c r="AV284" s="5">
        <f t="shared" si="70"/>
        <v>8026937</v>
      </c>
      <c r="AX284" s="6">
        <v>46303</v>
      </c>
      <c r="BB284" s="5"/>
      <c r="BD284" s="5"/>
      <c r="BG284" s="5"/>
    </row>
    <row r="285" spans="1:59">
      <c r="A285" s="13">
        <v>44115</v>
      </c>
      <c r="B285" s="11">
        <v>2696474</v>
      </c>
      <c r="C285" s="11">
        <v>1384010</v>
      </c>
      <c r="D285" s="11">
        <f t="shared" si="66"/>
        <v>4080484</v>
      </c>
      <c r="F285" s="13">
        <v>44479</v>
      </c>
      <c r="G285" s="11">
        <v>4629569</v>
      </c>
      <c r="H285" s="11">
        <v>900614</v>
      </c>
      <c r="I285" s="11">
        <v>269840</v>
      </c>
      <c r="J285" s="11">
        <v>71600</v>
      </c>
      <c r="K285" s="7">
        <f t="shared" si="62"/>
        <v>5871623</v>
      </c>
      <c r="M285" s="6">
        <v>44843</v>
      </c>
      <c r="N285" s="5">
        <v>715430</v>
      </c>
      <c r="O285" s="5">
        <v>937451</v>
      </c>
      <c r="P285" s="5">
        <v>80650</v>
      </c>
      <c r="Q285" s="5">
        <f t="shared" si="63"/>
        <v>1733531</v>
      </c>
      <c r="R285" s="5">
        <v>172820</v>
      </c>
      <c r="S285" s="5">
        <f t="shared" si="49"/>
        <v>1906351</v>
      </c>
      <c r="U285" s="6">
        <v>45207</v>
      </c>
      <c r="V285" s="8">
        <v>3915308</v>
      </c>
      <c r="W285" s="8">
        <v>1633240</v>
      </c>
      <c r="X285" s="8">
        <v>46110</v>
      </c>
      <c r="Y285" s="26">
        <f t="shared" si="71"/>
        <v>5594658</v>
      </c>
      <c r="Z285" s="8">
        <v>296020</v>
      </c>
      <c r="AA285" s="8">
        <v>0</v>
      </c>
      <c r="AB285" s="26">
        <f t="shared" si="65"/>
        <v>5890678</v>
      </c>
      <c r="AD285" s="6">
        <v>45572</v>
      </c>
      <c r="AE285" s="8">
        <v>4062301</v>
      </c>
      <c r="AF285" s="8">
        <v>1165170</v>
      </c>
      <c r="AG285" s="8">
        <v>384430</v>
      </c>
      <c r="AH285" s="5">
        <f t="shared" si="61"/>
        <v>5611901</v>
      </c>
      <c r="AI285" s="8">
        <v>1695230</v>
      </c>
      <c r="AJ285" s="8"/>
      <c r="AK285" s="5">
        <f t="shared" si="69"/>
        <v>7307131</v>
      </c>
      <c r="AM285" s="6">
        <v>45938</v>
      </c>
      <c r="AN285" s="8">
        <v>3211860</v>
      </c>
      <c r="AO285" s="8">
        <v>995960</v>
      </c>
      <c r="AP285" s="8">
        <v>103640</v>
      </c>
      <c r="AQ285" s="5">
        <f t="shared" si="72"/>
        <v>4311460</v>
      </c>
      <c r="AR285" s="8">
        <v>813670</v>
      </c>
      <c r="AS285" s="5">
        <v>24500</v>
      </c>
      <c r="AT285" s="8">
        <f t="shared" si="68"/>
        <v>838170</v>
      </c>
      <c r="AU285" s="8">
        <v>150000</v>
      </c>
      <c r="AV285" s="5">
        <f t="shared" si="70"/>
        <v>5299630</v>
      </c>
      <c r="AX285" s="6">
        <v>46304</v>
      </c>
      <c r="BB285" s="5"/>
      <c r="BD285" s="5"/>
      <c r="BG285" s="5"/>
    </row>
    <row r="286" spans="1:59">
      <c r="A286" s="13">
        <v>44116</v>
      </c>
      <c r="B286" s="11">
        <v>7845434</v>
      </c>
      <c r="C286" s="11">
        <v>4943380</v>
      </c>
      <c r="D286" s="11">
        <f t="shared" si="66"/>
        <v>12788814</v>
      </c>
      <c r="F286" s="13">
        <v>44480</v>
      </c>
      <c r="G286" s="11">
        <v>8017973</v>
      </c>
      <c r="H286" s="11">
        <v>2061712</v>
      </c>
      <c r="I286" s="11">
        <v>750630</v>
      </c>
      <c r="J286" s="11">
        <v>232700</v>
      </c>
      <c r="K286" s="7">
        <f t="shared" si="62"/>
        <v>11063015</v>
      </c>
      <c r="M286" s="6">
        <v>44844</v>
      </c>
      <c r="N286" s="5">
        <v>3971087</v>
      </c>
      <c r="O286" s="5">
        <v>1069080</v>
      </c>
      <c r="P286" s="5">
        <v>166160</v>
      </c>
      <c r="Q286" s="5">
        <f t="shared" si="63"/>
        <v>5206327</v>
      </c>
      <c r="R286" s="5">
        <v>134100</v>
      </c>
      <c r="S286" s="5">
        <f t="shared" si="49"/>
        <v>5340427</v>
      </c>
      <c r="U286" s="6">
        <v>45208</v>
      </c>
      <c r="V286" s="8">
        <v>1678123</v>
      </c>
      <c r="W286" s="8">
        <v>572000</v>
      </c>
      <c r="X286" s="8">
        <v>230960</v>
      </c>
      <c r="Y286" s="26">
        <f t="shared" si="71"/>
        <v>2481083</v>
      </c>
      <c r="Z286" s="8">
        <v>944900</v>
      </c>
      <c r="AA286" s="8">
        <v>0</v>
      </c>
      <c r="AB286" s="26">
        <f t="shared" si="65"/>
        <v>3425983</v>
      </c>
      <c r="AD286" s="6">
        <v>45573</v>
      </c>
      <c r="AE286" s="8">
        <v>11565720</v>
      </c>
      <c r="AF286" s="8">
        <v>2020217</v>
      </c>
      <c r="AG286" s="8">
        <v>168060</v>
      </c>
      <c r="AH286" s="5">
        <f t="shared" si="61"/>
        <v>13753997</v>
      </c>
      <c r="AI286" s="8">
        <v>795460</v>
      </c>
      <c r="AJ286" s="8"/>
      <c r="AK286" s="5">
        <f t="shared" si="69"/>
        <v>14549457</v>
      </c>
      <c r="AM286" s="6">
        <v>45939</v>
      </c>
      <c r="AN286" s="8">
        <v>4116550</v>
      </c>
      <c r="AO286" s="8">
        <v>1128760</v>
      </c>
      <c r="AP286" s="8">
        <v>45700</v>
      </c>
      <c r="AQ286" s="5">
        <f t="shared" si="72"/>
        <v>5291010</v>
      </c>
      <c r="AR286" s="8">
        <v>1320870</v>
      </c>
      <c r="AS286" s="5">
        <v>31700</v>
      </c>
      <c r="AT286" s="8">
        <f t="shared" si="68"/>
        <v>1352570</v>
      </c>
      <c r="AU286" s="8">
        <v>128500</v>
      </c>
      <c r="AV286" s="5">
        <f t="shared" si="70"/>
        <v>6772080</v>
      </c>
      <c r="AX286" s="6">
        <v>46305</v>
      </c>
      <c r="BB286" s="5"/>
      <c r="BD286" s="5"/>
      <c r="BG286" s="5"/>
    </row>
    <row r="287" spans="1:59">
      <c r="A287" s="13">
        <v>44117</v>
      </c>
      <c r="B287" s="11">
        <v>11929272</v>
      </c>
      <c r="C287" s="11">
        <v>4048190</v>
      </c>
      <c r="D287" s="11">
        <f t="shared" si="66"/>
        <v>15977462</v>
      </c>
      <c r="F287" s="13">
        <v>44481</v>
      </c>
      <c r="G287" s="11">
        <v>8814188</v>
      </c>
      <c r="H287" s="11">
        <v>1322740</v>
      </c>
      <c r="I287" s="11">
        <v>374180</v>
      </c>
      <c r="J287" s="11">
        <v>179000</v>
      </c>
      <c r="K287" s="7">
        <f t="shared" si="62"/>
        <v>10690108</v>
      </c>
      <c r="M287" s="6">
        <v>44845</v>
      </c>
      <c r="N287" s="5">
        <v>4503478</v>
      </c>
      <c r="O287" s="5">
        <v>1268370</v>
      </c>
      <c r="P287" s="5">
        <v>230160</v>
      </c>
      <c r="Q287" s="5">
        <f t="shared" si="63"/>
        <v>6002008</v>
      </c>
      <c r="R287" s="5">
        <v>403730</v>
      </c>
      <c r="S287" s="5">
        <f t="shared" si="49"/>
        <v>6405738</v>
      </c>
      <c r="U287" s="6">
        <v>45209</v>
      </c>
      <c r="V287" s="8">
        <v>6541400</v>
      </c>
      <c r="W287" s="8">
        <v>2299870</v>
      </c>
      <c r="X287" s="8">
        <v>292930</v>
      </c>
      <c r="Y287" s="26">
        <f t="shared" si="71"/>
        <v>9134200</v>
      </c>
      <c r="Z287" s="8">
        <v>1039340</v>
      </c>
      <c r="AA287" s="8">
        <v>0</v>
      </c>
      <c r="AB287" s="26">
        <f t="shared" si="65"/>
        <v>10173540</v>
      </c>
      <c r="AD287" s="6">
        <v>45574</v>
      </c>
      <c r="AE287" s="8">
        <v>2625850</v>
      </c>
      <c r="AF287" s="8">
        <v>576180</v>
      </c>
      <c r="AG287" s="8">
        <v>364850</v>
      </c>
      <c r="AH287" s="5">
        <f t="shared" si="61"/>
        <v>3566880</v>
      </c>
      <c r="AI287" s="8">
        <v>1076140</v>
      </c>
      <c r="AJ287" s="8"/>
      <c r="AK287" s="5">
        <f t="shared" si="69"/>
        <v>4643020</v>
      </c>
      <c r="AM287" s="6">
        <v>45940</v>
      </c>
      <c r="AN287" s="8">
        <v>4269440</v>
      </c>
      <c r="AO287" s="8">
        <v>1341290</v>
      </c>
      <c r="AP287" s="8">
        <v>277970</v>
      </c>
      <c r="AQ287" s="5">
        <f t="shared" si="72"/>
        <v>5888700</v>
      </c>
      <c r="AR287" s="8">
        <v>1900190</v>
      </c>
      <c r="AS287" s="5">
        <v>56200</v>
      </c>
      <c r="AT287" s="8">
        <f t="shared" si="68"/>
        <v>1956390</v>
      </c>
      <c r="AU287" s="8">
        <v>90460</v>
      </c>
      <c r="AV287" s="5">
        <f t="shared" si="70"/>
        <v>7935550</v>
      </c>
      <c r="AX287" s="6">
        <v>46306</v>
      </c>
      <c r="BB287" s="5"/>
      <c r="BD287" s="5"/>
      <c r="BG287" s="5"/>
    </row>
    <row r="288" spans="1:59">
      <c r="A288" s="13">
        <v>44118</v>
      </c>
      <c r="B288" s="11">
        <v>16796882</v>
      </c>
      <c r="C288" s="11">
        <v>3296910</v>
      </c>
      <c r="D288" s="11">
        <f t="shared" si="66"/>
        <v>20093792</v>
      </c>
      <c r="F288" s="13">
        <v>44482</v>
      </c>
      <c r="G288" s="11">
        <v>7947897</v>
      </c>
      <c r="H288" s="11">
        <v>1276921</v>
      </c>
      <c r="I288" s="11">
        <v>518510</v>
      </c>
      <c r="J288" s="11">
        <v>179000</v>
      </c>
      <c r="K288" s="7">
        <f t="shared" si="62"/>
        <v>9922328</v>
      </c>
      <c r="M288" s="6">
        <v>44846</v>
      </c>
      <c r="N288" s="5">
        <v>7431133</v>
      </c>
      <c r="O288" s="5">
        <v>1533530</v>
      </c>
      <c r="P288" s="5">
        <v>88300</v>
      </c>
      <c r="Q288" s="5">
        <f t="shared" si="63"/>
        <v>9052963</v>
      </c>
      <c r="R288" s="24">
        <v>284220</v>
      </c>
      <c r="S288" s="5">
        <f t="shared" si="49"/>
        <v>9337183</v>
      </c>
      <c r="U288" s="6">
        <v>45210</v>
      </c>
      <c r="V288" s="8">
        <v>10024772</v>
      </c>
      <c r="W288" s="8">
        <v>2218200</v>
      </c>
      <c r="X288" s="8">
        <v>313010</v>
      </c>
      <c r="Y288" s="26">
        <f t="shared" si="71"/>
        <v>12555982</v>
      </c>
      <c r="Z288" s="8">
        <v>981830</v>
      </c>
      <c r="AA288" s="8">
        <v>0</v>
      </c>
      <c r="AB288" s="26">
        <f t="shared" si="65"/>
        <v>13537812</v>
      </c>
      <c r="AD288" s="6">
        <v>45575</v>
      </c>
      <c r="AE288" s="8">
        <v>9295988</v>
      </c>
      <c r="AF288" s="8">
        <v>1747230</v>
      </c>
      <c r="AG288" s="8">
        <v>326980</v>
      </c>
      <c r="AH288" s="5">
        <f t="shared" si="61"/>
        <v>11370198</v>
      </c>
      <c r="AI288" s="8">
        <v>1446330</v>
      </c>
      <c r="AJ288" s="8"/>
      <c r="AK288" s="5">
        <f t="shared" si="69"/>
        <v>12816528</v>
      </c>
      <c r="AM288" s="6">
        <v>45941</v>
      </c>
      <c r="AN288" s="8">
        <v>3255640</v>
      </c>
      <c r="AO288" s="8">
        <v>1022510</v>
      </c>
      <c r="AP288" s="8">
        <v>194970</v>
      </c>
      <c r="AQ288" s="5">
        <f t="shared" si="72"/>
        <v>4473120</v>
      </c>
      <c r="AR288" s="8">
        <v>1712190</v>
      </c>
      <c r="AS288" s="5">
        <v>31700</v>
      </c>
      <c r="AT288" s="8">
        <f t="shared" si="68"/>
        <v>1743890</v>
      </c>
      <c r="AU288" s="8">
        <v>24990</v>
      </c>
      <c r="AV288" s="5">
        <f t="shared" si="70"/>
        <v>6242000</v>
      </c>
      <c r="AX288" s="6">
        <v>46307</v>
      </c>
      <c r="BB288" s="5"/>
      <c r="BD288" s="5"/>
      <c r="BG288" s="5"/>
    </row>
    <row r="289" spans="1:59">
      <c r="A289" s="13">
        <v>44119</v>
      </c>
      <c r="B289" s="11">
        <v>16005759</v>
      </c>
      <c r="C289" s="11">
        <v>3441645</v>
      </c>
      <c r="D289" s="11">
        <f t="shared" si="66"/>
        <v>19447404</v>
      </c>
      <c r="F289" s="13">
        <v>44483</v>
      </c>
      <c r="G289" s="11">
        <v>9946579</v>
      </c>
      <c r="H289" s="11">
        <v>1830280</v>
      </c>
      <c r="I289" s="11">
        <v>308200</v>
      </c>
      <c r="J289" s="11">
        <v>304300</v>
      </c>
      <c r="K289" s="7">
        <f t="shared" si="62"/>
        <v>12389359</v>
      </c>
      <c r="M289" s="6">
        <v>44847</v>
      </c>
      <c r="N289" s="5">
        <v>6911930</v>
      </c>
      <c r="O289" s="5">
        <v>2888870</v>
      </c>
      <c r="P289" s="5">
        <v>770350</v>
      </c>
      <c r="Q289" s="5">
        <f t="shared" si="63"/>
        <v>10571150</v>
      </c>
      <c r="R289" s="5">
        <v>155510</v>
      </c>
      <c r="S289" s="5">
        <f t="shared" si="49"/>
        <v>10726660</v>
      </c>
      <c r="U289" s="6">
        <v>45211</v>
      </c>
      <c r="V289" s="8">
        <v>10262630</v>
      </c>
      <c r="W289" s="8">
        <v>2876960</v>
      </c>
      <c r="X289" s="8">
        <v>238800</v>
      </c>
      <c r="Y289" s="26">
        <f t="shared" si="71"/>
        <v>13378390</v>
      </c>
      <c r="Z289" s="8">
        <v>1024560</v>
      </c>
      <c r="AA289" s="8">
        <v>0</v>
      </c>
      <c r="AB289" s="26">
        <f t="shared" si="65"/>
        <v>14402950</v>
      </c>
      <c r="AD289" s="6">
        <v>45576</v>
      </c>
      <c r="AE289" s="8">
        <v>5978096</v>
      </c>
      <c r="AF289" s="8">
        <v>1728066</v>
      </c>
      <c r="AG289" s="8">
        <v>324200</v>
      </c>
      <c r="AH289" s="5">
        <f t="shared" si="61"/>
        <v>8030362</v>
      </c>
      <c r="AI289" s="8">
        <v>1182430</v>
      </c>
      <c r="AJ289" s="8"/>
      <c r="AK289" s="5">
        <f t="shared" si="69"/>
        <v>9212792</v>
      </c>
      <c r="AM289" s="6">
        <v>45942</v>
      </c>
      <c r="AN289" s="8">
        <v>4555940</v>
      </c>
      <c r="AO289" s="8">
        <v>1460870</v>
      </c>
      <c r="AP289" s="8">
        <v>528950</v>
      </c>
      <c r="AQ289" s="5">
        <f t="shared" si="72"/>
        <v>6545760</v>
      </c>
      <c r="AR289" s="8">
        <v>3684560</v>
      </c>
      <c r="AS289" s="5">
        <v>104200</v>
      </c>
      <c r="AT289" s="8">
        <f t="shared" si="68"/>
        <v>3788760</v>
      </c>
      <c r="AU289" s="8">
        <v>206360</v>
      </c>
      <c r="AV289" s="5">
        <f t="shared" si="70"/>
        <v>10540880</v>
      </c>
      <c r="AX289" s="6">
        <v>46308</v>
      </c>
      <c r="BB289" s="5"/>
      <c r="BD289" s="5"/>
      <c r="BG289" s="5"/>
    </row>
    <row r="290" spans="1:59">
      <c r="A290" s="13">
        <v>44120</v>
      </c>
      <c r="B290" s="11">
        <v>11002525</v>
      </c>
      <c r="C290" s="11">
        <v>1858330</v>
      </c>
      <c r="D290" s="11">
        <f t="shared" si="66"/>
        <v>12860855</v>
      </c>
      <c r="F290" s="13">
        <v>44484</v>
      </c>
      <c r="G290" s="11">
        <v>3809009</v>
      </c>
      <c r="H290" s="11">
        <v>1181270</v>
      </c>
      <c r="I290" s="11">
        <v>327520</v>
      </c>
      <c r="J290" s="11">
        <v>373400</v>
      </c>
      <c r="K290" s="7">
        <f t="shared" si="62"/>
        <v>5691199</v>
      </c>
      <c r="M290" s="6">
        <v>44848</v>
      </c>
      <c r="N290" s="5">
        <v>3078261</v>
      </c>
      <c r="O290" s="5">
        <v>1566950</v>
      </c>
      <c r="P290" s="5">
        <v>303010</v>
      </c>
      <c r="Q290" s="5">
        <f t="shared" si="63"/>
        <v>4948221</v>
      </c>
      <c r="R290" s="5">
        <v>147170</v>
      </c>
      <c r="S290" s="5">
        <f t="shared" si="49"/>
        <v>5095391</v>
      </c>
      <c r="U290" s="6">
        <v>45212</v>
      </c>
      <c r="V290" s="8">
        <v>4472531</v>
      </c>
      <c r="W290" s="8">
        <v>2023940</v>
      </c>
      <c r="X290" s="8">
        <v>415810</v>
      </c>
      <c r="Y290" s="26">
        <f t="shared" si="71"/>
        <v>6912281</v>
      </c>
      <c r="Z290" s="8">
        <v>1042780</v>
      </c>
      <c r="AA290" s="8">
        <v>0</v>
      </c>
      <c r="AB290" s="26">
        <f t="shared" si="65"/>
        <v>7955061</v>
      </c>
      <c r="AD290" s="6">
        <v>45577</v>
      </c>
      <c r="AE290" s="8">
        <v>3471149</v>
      </c>
      <c r="AF290" s="8">
        <v>779640</v>
      </c>
      <c r="AG290" s="8">
        <v>142890</v>
      </c>
      <c r="AH290" s="5">
        <f t="shared" si="61"/>
        <v>4393679</v>
      </c>
      <c r="AI290" s="8">
        <v>433310</v>
      </c>
      <c r="AJ290" s="8"/>
      <c r="AK290" s="5">
        <f t="shared" si="69"/>
        <v>4826989</v>
      </c>
      <c r="AM290" s="6">
        <v>45943</v>
      </c>
      <c r="AN290" s="8">
        <v>6779620</v>
      </c>
      <c r="AO290" s="8">
        <v>2135850</v>
      </c>
      <c r="AP290" s="8">
        <v>587330</v>
      </c>
      <c r="AQ290" s="5">
        <f t="shared" si="72"/>
        <v>9502800</v>
      </c>
      <c r="AR290" s="8">
        <v>1513820</v>
      </c>
      <c r="AS290" s="5">
        <v>0</v>
      </c>
      <c r="AT290" s="8">
        <f t="shared" si="68"/>
        <v>1513820</v>
      </c>
      <c r="AU290" s="8">
        <v>237500</v>
      </c>
      <c r="AV290" s="5">
        <f t="shared" si="70"/>
        <v>11254120</v>
      </c>
      <c r="AX290" s="6">
        <v>46309</v>
      </c>
      <c r="BB290" s="5"/>
      <c r="BD290" s="5"/>
      <c r="BG290" s="5"/>
    </row>
    <row r="291" spans="1:59">
      <c r="A291" s="13">
        <v>44121</v>
      </c>
      <c r="B291" s="11">
        <v>3524566</v>
      </c>
      <c r="C291" s="11">
        <v>1340720</v>
      </c>
      <c r="D291" s="11">
        <f t="shared" si="66"/>
        <v>4865286</v>
      </c>
      <c r="F291" s="13">
        <v>44485</v>
      </c>
      <c r="G291" s="11">
        <v>2506487</v>
      </c>
      <c r="H291" s="11">
        <v>756350</v>
      </c>
      <c r="I291" s="11">
        <v>173490</v>
      </c>
      <c r="J291" s="11">
        <v>166500</v>
      </c>
      <c r="K291" s="7">
        <f t="shared" si="62"/>
        <v>3602827</v>
      </c>
      <c r="M291" s="6">
        <v>44849</v>
      </c>
      <c r="N291" s="5">
        <v>1438260</v>
      </c>
      <c r="O291" s="5">
        <v>779370</v>
      </c>
      <c r="P291" s="5">
        <v>99890</v>
      </c>
      <c r="Q291" s="5">
        <f t="shared" si="63"/>
        <v>2317520</v>
      </c>
      <c r="R291" s="5">
        <v>156920</v>
      </c>
      <c r="S291" s="5">
        <f t="shared" si="49"/>
        <v>2474440</v>
      </c>
      <c r="U291" s="6">
        <v>45213</v>
      </c>
      <c r="V291" s="8">
        <v>2756619</v>
      </c>
      <c r="W291" s="8">
        <v>734310</v>
      </c>
      <c r="X291" s="8">
        <v>241190</v>
      </c>
      <c r="Y291" s="26">
        <f t="shared" si="71"/>
        <v>3732119</v>
      </c>
      <c r="Z291" s="8">
        <v>629010</v>
      </c>
      <c r="AA291" s="8">
        <v>0</v>
      </c>
      <c r="AB291" s="26">
        <f t="shared" si="65"/>
        <v>4361129</v>
      </c>
      <c r="AD291" s="6">
        <v>45578</v>
      </c>
      <c r="AE291" s="8">
        <v>3237820</v>
      </c>
      <c r="AF291" s="8">
        <v>1091950</v>
      </c>
      <c r="AG291" s="8">
        <v>242720</v>
      </c>
      <c r="AH291" s="5">
        <f t="shared" si="61"/>
        <v>4572490</v>
      </c>
      <c r="AI291" s="8">
        <v>623520</v>
      </c>
      <c r="AJ291" s="8"/>
      <c r="AK291" s="5">
        <f t="shared" si="69"/>
        <v>5196010</v>
      </c>
      <c r="AM291" s="6">
        <v>45944</v>
      </c>
      <c r="AN291" s="8">
        <v>6199624</v>
      </c>
      <c r="AO291" s="8">
        <v>2348380</v>
      </c>
      <c r="AP291" s="8">
        <v>308820</v>
      </c>
      <c r="AQ291" s="5">
        <f t="shared" si="72"/>
        <v>8856824</v>
      </c>
      <c r="AR291" s="8">
        <v>2104950</v>
      </c>
      <c r="AS291" s="5">
        <v>111400</v>
      </c>
      <c r="AT291" s="8">
        <f t="shared" si="68"/>
        <v>2216350</v>
      </c>
      <c r="AU291" s="8">
        <v>270930</v>
      </c>
      <c r="AV291" s="5">
        <f t="shared" si="70"/>
        <v>11344104</v>
      </c>
      <c r="AX291" s="6">
        <v>46310</v>
      </c>
      <c r="BB291" s="5"/>
      <c r="BD291" s="5"/>
      <c r="BG291" s="5"/>
    </row>
    <row r="292" spans="1:59">
      <c r="A292" s="13">
        <v>44122</v>
      </c>
      <c r="B292" s="11">
        <v>3345254</v>
      </c>
      <c r="C292" s="11">
        <v>1672190</v>
      </c>
      <c r="D292" s="11">
        <f t="shared" si="66"/>
        <v>5017444</v>
      </c>
      <c r="F292" s="13">
        <v>44486</v>
      </c>
      <c r="G292" s="11">
        <v>2888485</v>
      </c>
      <c r="H292" s="11">
        <v>693670</v>
      </c>
      <c r="I292" s="11">
        <v>158400</v>
      </c>
      <c r="J292" s="11">
        <v>109900</v>
      </c>
      <c r="K292" s="7">
        <f t="shared" si="62"/>
        <v>3850455</v>
      </c>
      <c r="M292" s="6">
        <v>44850</v>
      </c>
      <c r="N292" s="5">
        <v>1962349</v>
      </c>
      <c r="O292" s="5">
        <v>1323050</v>
      </c>
      <c r="P292" s="5">
        <v>164800</v>
      </c>
      <c r="Q292" s="5">
        <f t="shared" si="63"/>
        <v>3450199</v>
      </c>
      <c r="R292" s="5">
        <v>43700</v>
      </c>
      <c r="S292" s="5">
        <f t="shared" ref="S292:S355" si="73">Q292+R292</f>
        <v>3493899</v>
      </c>
      <c r="U292" s="6">
        <v>45214</v>
      </c>
      <c r="V292" s="8">
        <v>2066310</v>
      </c>
      <c r="W292" s="8">
        <v>1276590</v>
      </c>
      <c r="X292" s="8">
        <v>17100</v>
      </c>
      <c r="Y292" s="26">
        <f t="shared" si="71"/>
        <v>3360000</v>
      </c>
      <c r="Z292" s="8">
        <v>550250</v>
      </c>
      <c r="AA292" s="8">
        <v>0</v>
      </c>
      <c r="AB292" s="26">
        <f t="shared" si="65"/>
        <v>3910250</v>
      </c>
      <c r="AD292" s="6">
        <v>45579</v>
      </c>
      <c r="AE292" s="8">
        <v>6691445</v>
      </c>
      <c r="AF292" s="8">
        <v>3217725</v>
      </c>
      <c r="AG292" s="8">
        <v>589380</v>
      </c>
      <c r="AH292" s="5">
        <f t="shared" si="61"/>
        <v>10498550</v>
      </c>
      <c r="AI292" s="8">
        <v>1772720</v>
      </c>
      <c r="AJ292" s="8"/>
      <c r="AK292" s="5">
        <f t="shared" si="69"/>
        <v>12271270</v>
      </c>
      <c r="AM292" s="6">
        <v>45945</v>
      </c>
      <c r="AN292" s="8">
        <v>5668700</v>
      </c>
      <c r="AO292" s="8">
        <v>1731430</v>
      </c>
      <c r="AP292" s="8">
        <v>360610</v>
      </c>
      <c r="AQ292" s="5">
        <f t="shared" si="72"/>
        <v>7760740</v>
      </c>
      <c r="AR292" s="8">
        <v>1805050</v>
      </c>
      <c r="AS292" s="5">
        <v>281000</v>
      </c>
      <c r="AT292" s="8">
        <f t="shared" si="68"/>
        <v>2086050</v>
      </c>
      <c r="AU292" s="8">
        <v>240510</v>
      </c>
      <c r="AV292" s="5">
        <f t="shared" si="70"/>
        <v>10087300</v>
      </c>
      <c r="AX292" s="6">
        <v>46311</v>
      </c>
      <c r="BB292" s="5"/>
      <c r="BD292" s="5"/>
      <c r="BG292" s="5"/>
    </row>
    <row r="293" spans="1:59">
      <c r="A293" s="13">
        <v>44123</v>
      </c>
      <c r="B293" s="11">
        <v>7797739</v>
      </c>
      <c r="C293" s="11">
        <v>5005460</v>
      </c>
      <c r="D293" s="11">
        <f t="shared" si="66"/>
        <v>12803199</v>
      </c>
      <c r="F293" s="13">
        <v>44487</v>
      </c>
      <c r="G293" s="11">
        <v>4927822</v>
      </c>
      <c r="H293" s="11">
        <v>1393160</v>
      </c>
      <c r="I293" s="11">
        <v>591500</v>
      </c>
      <c r="J293" s="11">
        <v>243100</v>
      </c>
      <c r="K293" s="7">
        <f t="shared" si="62"/>
        <v>7155582</v>
      </c>
      <c r="M293" s="6">
        <v>44851</v>
      </c>
      <c r="N293" s="5">
        <v>3324104</v>
      </c>
      <c r="O293" s="5">
        <v>1882250</v>
      </c>
      <c r="P293" s="5">
        <v>409570</v>
      </c>
      <c r="Q293" s="5">
        <f t="shared" si="63"/>
        <v>5615924</v>
      </c>
      <c r="R293" s="5">
        <v>141510</v>
      </c>
      <c r="S293" s="5">
        <f t="shared" si="73"/>
        <v>5757434</v>
      </c>
      <c r="U293" s="6">
        <v>45215</v>
      </c>
      <c r="V293" s="8">
        <v>6668747</v>
      </c>
      <c r="W293" s="8">
        <v>2051720</v>
      </c>
      <c r="X293" s="8">
        <v>743510</v>
      </c>
      <c r="Y293" s="26">
        <f t="shared" si="71"/>
        <v>9463977</v>
      </c>
      <c r="Z293" s="8">
        <v>839440</v>
      </c>
      <c r="AA293" s="8">
        <v>0</v>
      </c>
      <c r="AB293" s="26">
        <f t="shared" si="65"/>
        <v>10303417</v>
      </c>
      <c r="AD293" s="6">
        <v>45580</v>
      </c>
      <c r="AE293" s="8">
        <v>12851403</v>
      </c>
      <c r="AF293" s="8">
        <v>3209810</v>
      </c>
      <c r="AG293" s="8">
        <v>183600</v>
      </c>
      <c r="AH293" s="5">
        <f t="shared" si="61"/>
        <v>16244813</v>
      </c>
      <c r="AI293" s="8">
        <v>1251310</v>
      </c>
      <c r="AJ293" s="8"/>
      <c r="AK293" s="5">
        <f t="shared" si="69"/>
        <v>17496123</v>
      </c>
      <c r="AM293" s="6">
        <v>45946</v>
      </c>
      <c r="AN293" s="8">
        <v>4337900</v>
      </c>
      <c r="AO293" s="8">
        <v>1132710</v>
      </c>
      <c r="AP293" s="8">
        <v>266350</v>
      </c>
      <c r="AQ293" s="5">
        <f t="shared" si="72"/>
        <v>5736960</v>
      </c>
      <c r="AR293" s="8">
        <v>931830</v>
      </c>
      <c r="AS293" s="5">
        <v>112500</v>
      </c>
      <c r="AT293" s="8">
        <f t="shared" si="68"/>
        <v>1044330</v>
      </c>
      <c r="AU293" s="8">
        <v>166000</v>
      </c>
      <c r="AV293" s="5">
        <f t="shared" si="70"/>
        <v>6947290</v>
      </c>
      <c r="AX293" s="6">
        <v>46312</v>
      </c>
      <c r="BB293" s="5"/>
      <c r="BD293" s="5"/>
      <c r="BG293" s="5"/>
    </row>
    <row r="294" spans="1:59">
      <c r="A294" s="13">
        <v>44124</v>
      </c>
      <c r="B294" s="11">
        <v>13535002</v>
      </c>
      <c r="C294" s="11">
        <v>5477238</v>
      </c>
      <c r="D294" s="11">
        <f t="shared" si="66"/>
        <v>19012240</v>
      </c>
      <c r="F294" s="13">
        <v>44488</v>
      </c>
      <c r="G294" s="11">
        <v>7525129</v>
      </c>
      <c r="H294" s="11">
        <v>1990480</v>
      </c>
      <c r="I294" s="11">
        <v>352410</v>
      </c>
      <c r="J294" s="11">
        <v>143200</v>
      </c>
      <c r="K294" s="7">
        <f t="shared" si="62"/>
        <v>10011219</v>
      </c>
      <c r="M294" s="6">
        <v>44852</v>
      </c>
      <c r="N294" s="5">
        <v>6557791</v>
      </c>
      <c r="O294" s="5">
        <v>2620610</v>
      </c>
      <c r="P294" s="5">
        <v>331280</v>
      </c>
      <c r="Q294" s="5">
        <f t="shared" si="63"/>
        <v>9509681</v>
      </c>
      <c r="R294" s="5">
        <v>165730</v>
      </c>
      <c r="S294" s="5">
        <f t="shared" si="73"/>
        <v>9675411</v>
      </c>
      <c r="U294" s="6">
        <v>45216</v>
      </c>
      <c r="V294" s="8">
        <v>7495163</v>
      </c>
      <c r="W294" s="8">
        <v>2127350</v>
      </c>
      <c r="X294" s="8">
        <v>237370</v>
      </c>
      <c r="Y294" s="26">
        <f t="shared" si="71"/>
        <v>9859883</v>
      </c>
      <c r="Z294" s="8">
        <v>700350</v>
      </c>
      <c r="AA294" s="8">
        <v>0</v>
      </c>
      <c r="AB294" s="26">
        <f t="shared" si="65"/>
        <v>10560233</v>
      </c>
      <c r="AD294" s="6">
        <v>45581</v>
      </c>
      <c r="AE294" s="8">
        <v>10055843</v>
      </c>
      <c r="AF294" s="8">
        <v>2852380</v>
      </c>
      <c r="AG294" s="8">
        <v>393330</v>
      </c>
      <c r="AH294" s="5">
        <f t="shared" si="61"/>
        <v>13301553</v>
      </c>
      <c r="AI294" s="8">
        <v>784330</v>
      </c>
      <c r="AJ294" s="8"/>
      <c r="AK294" s="5">
        <f t="shared" si="69"/>
        <v>14085883</v>
      </c>
      <c r="AM294" s="6">
        <v>45947</v>
      </c>
      <c r="AN294" s="8">
        <v>3824290</v>
      </c>
      <c r="AO294" s="8">
        <v>1588930</v>
      </c>
      <c r="AP294" s="8">
        <v>335040</v>
      </c>
      <c r="AQ294" s="5">
        <f t="shared" si="72"/>
        <v>5748260</v>
      </c>
      <c r="AR294" s="8">
        <v>351210</v>
      </c>
      <c r="AS294" s="5">
        <v>130900</v>
      </c>
      <c r="AT294" s="8">
        <f t="shared" si="68"/>
        <v>482110</v>
      </c>
      <c r="AU294" s="8">
        <v>303040</v>
      </c>
      <c r="AV294" s="5">
        <f t="shared" si="70"/>
        <v>6533410</v>
      </c>
      <c r="AX294" s="6">
        <v>46313</v>
      </c>
      <c r="BB294" s="5"/>
      <c r="BD294" s="5"/>
      <c r="BG294" s="5"/>
    </row>
    <row r="295" spans="1:59">
      <c r="A295" s="13">
        <v>44125</v>
      </c>
      <c r="B295" s="11">
        <v>15584448</v>
      </c>
      <c r="C295" s="11">
        <v>5109440</v>
      </c>
      <c r="D295" s="11">
        <f t="shared" si="66"/>
        <v>20693888</v>
      </c>
      <c r="F295" s="13">
        <v>44489</v>
      </c>
      <c r="G295" s="11">
        <v>6759469</v>
      </c>
      <c r="H295" s="11">
        <v>2117145</v>
      </c>
      <c r="I295" s="11">
        <v>508870</v>
      </c>
      <c r="J295" s="11">
        <v>244350</v>
      </c>
      <c r="K295" s="7">
        <f t="shared" si="62"/>
        <v>9629834</v>
      </c>
      <c r="M295" s="6">
        <v>44853</v>
      </c>
      <c r="N295" s="5">
        <v>5749248</v>
      </c>
      <c r="O295" s="5">
        <v>2460130</v>
      </c>
      <c r="P295" s="5">
        <v>360170</v>
      </c>
      <c r="Q295" s="5">
        <f t="shared" si="63"/>
        <v>8569548</v>
      </c>
      <c r="R295" s="5">
        <v>186250</v>
      </c>
      <c r="S295" s="5">
        <f t="shared" si="73"/>
        <v>8755798</v>
      </c>
      <c r="U295" s="6">
        <v>45217</v>
      </c>
      <c r="V295" s="8">
        <v>7380538</v>
      </c>
      <c r="W295" s="8">
        <v>2304620</v>
      </c>
      <c r="X295" s="8">
        <v>273160</v>
      </c>
      <c r="Y295" s="26">
        <f t="shared" si="71"/>
        <v>9958318</v>
      </c>
      <c r="Z295" s="8">
        <v>1284580</v>
      </c>
      <c r="AA295" s="8">
        <v>0</v>
      </c>
      <c r="AB295" s="26">
        <f t="shared" si="65"/>
        <v>11242898</v>
      </c>
      <c r="AD295" s="6">
        <v>45582</v>
      </c>
      <c r="AE295" s="8">
        <v>9096060</v>
      </c>
      <c r="AF295" s="8">
        <v>2783840</v>
      </c>
      <c r="AG295" s="8">
        <v>330600</v>
      </c>
      <c r="AH295" s="5">
        <f t="shared" si="61"/>
        <v>12210500</v>
      </c>
      <c r="AI295" s="8">
        <v>1169610</v>
      </c>
      <c r="AJ295" s="8"/>
      <c r="AK295" s="5">
        <f t="shared" si="69"/>
        <v>13380110</v>
      </c>
      <c r="AM295" s="6">
        <v>45948</v>
      </c>
      <c r="AN295" s="8">
        <v>4175325</v>
      </c>
      <c r="AO295" s="8">
        <v>1141310</v>
      </c>
      <c r="AP295" s="8">
        <v>171890</v>
      </c>
      <c r="AQ295" s="5">
        <f t="shared" si="72"/>
        <v>5488525</v>
      </c>
      <c r="AR295" s="8">
        <v>519710</v>
      </c>
      <c r="AS295" s="5">
        <v>150100</v>
      </c>
      <c r="AT295" s="8">
        <f t="shared" si="68"/>
        <v>669810</v>
      </c>
      <c r="AU295" s="8">
        <v>325850</v>
      </c>
      <c r="AV295" s="5">
        <f t="shared" si="70"/>
        <v>6484185</v>
      </c>
      <c r="AX295" s="6">
        <v>46314</v>
      </c>
      <c r="BB295" s="5"/>
      <c r="BD295" s="5"/>
      <c r="BG295" s="5"/>
    </row>
    <row r="296" spans="1:59">
      <c r="A296" s="13">
        <v>44126</v>
      </c>
      <c r="B296" s="11">
        <v>13513606</v>
      </c>
      <c r="C296" s="11">
        <v>5798666</v>
      </c>
      <c r="D296" s="11">
        <f t="shared" si="66"/>
        <v>19312272</v>
      </c>
      <c r="F296" s="13">
        <v>44490</v>
      </c>
      <c r="G296" s="11">
        <v>9220169</v>
      </c>
      <c r="H296" s="11">
        <v>2436647</v>
      </c>
      <c r="I296" s="11">
        <v>485530</v>
      </c>
      <c r="J296" s="11">
        <v>291800</v>
      </c>
      <c r="K296" s="7">
        <f t="shared" si="62"/>
        <v>12434146</v>
      </c>
      <c r="M296" s="6">
        <v>44854</v>
      </c>
      <c r="N296" s="5">
        <v>9146753</v>
      </c>
      <c r="O296" s="5">
        <v>3109820</v>
      </c>
      <c r="P296" s="5">
        <v>251780</v>
      </c>
      <c r="Q296" s="5">
        <f t="shared" si="63"/>
        <v>12508353</v>
      </c>
      <c r="R296" s="5">
        <v>41310</v>
      </c>
      <c r="S296" s="5">
        <f t="shared" si="73"/>
        <v>12549663</v>
      </c>
      <c r="U296" s="6">
        <v>45218</v>
      </c>
      <c r="V296" s="8">
        <v>10381138</v>
      </c>
      <c r="W296" s="8">
        <v>3141290</v>
      </c>
      <c r="X296" s="8">
        <v>310910</v>
      </c>
      <c r="Y296" s="26">
        <f t="shared" si="71"/>
        <v>13833338</v>
      </c>
      <c r="Z296" s="8">
        <v>1088510</v>
      </c>
      <c r="AA296" s="8">
        <v>0</v>
      </c>
      <c r="AB296" s="26">
        <f t="shared" si="65"/>
        <v>14921848</v>
      </c>
      <c r="AD296" s="6">
        <v>45583</v>
      </c>
      <c r="AE296" s="8">
        <v>12980931</v>
      </c>
      <c r="AF296" s="8">
        <v>2447550</v>
      </c>
      <c r="AG296" s="8">
        <v>45710</v>
      </c>
      <c r="AH296" s="5">
        <f t="shared" si="61"/>
        <v>15474191</v>
      </c>
      <c r="AI296" s="8">
        <v>962110</v>
      </c>
      <c r="AJ296" s="8"/>
      <c r="AK296" s="5">
        <f t="shared" si="69"/>
        <v>16436301</v>
      </c>
      <c r="AM296" s="6">
        <v>45949</v>
      </c>
      <c r="AN296" s="8">
        <v>3589588</v>
      </c>
      <c r="AO296" s="8">
        <v>1559480</v>
      </c>
      <c r="AP296" s="8">
        <v>302890</v>
      </c>
      <c r="AQ296" s="5">
        <f t="shared" si="72"/>
        <v>5451958</v>
      </c>
      <c r="AR296" s="8">
        <v>471230</v>
      </c>
      <c r="AS296" s="5">
        <v>294800</v>
      </c>
      <c r="AT296" s="8">
        <f t="shared" si="68"/>
        <v>766030</v>
      </c>
      <c r="AU296" s="8">
        <v>174000</v>
      </c>
      <c r="AV296" s="5">
        <f t="shared" si="70"/>
        <v>6391988</v>
      </c>
      <c r="AX296" s="6">
        <v>46315</v>
      </c>
      <c r="BB296" s="5"/>
      <c r="BD296" s="5"/>
      <c r="BG296" s="5"/>
    </row>
    <row r="297" spans="1:59">
      <c r="A297" s="13">
        <v>44127</v>
      </c>
      <c r="B297" s="11">
        <v>3788816</v>
      </c>
      <c r="C297" s="11">
        <v>2906525</v>
      </c>
      <c r="D297" s="11">
        <f t="shared" si="66"/>
        <v>6695341</v>
      </c>
      <c r="F297" s="13">
        <v>44491</v>
      </c>
      <c r="G297" s="11">
        <v>10899558</v>
      </c>
      <c r="H297" s="11">
        <v>1276380</v>
      </c>
      <c r="I297" s="11">
        <v>302850</v>
      </c>
      <c r="J297" s="11">
        <v>207300</v>
      </c>
      <c r="K297" s="7">
        <f t="shared" si="62"/>
        <v>12686088</v>
      </c>
      <c r="M297" s="6">
        <v>44855</v>
      </c>
      <c r="N297" s="5">
        <v>4737319</v>
      </c>
      <c r="O297" s="5">
        <v>1140690</v>
      </c>
      <c r="P297" s="5">
        <v>143870</v>
      </c>
      <c r="Q297" s="5">
        <f t="shared" si="63"/>
        <v>6021879</v>
      </c>
      <c r="R297" s="5">
        <v>70110</v>
      </c>
      <c r="S297" s="5">
        <f t="shared" si="73"/>
        <v>6091989</v>
      </c>
      <c r="U297" s="6">
        <v>45219</v>
      </c>
      <c r="V297" s="8">
        <v>4778622</v>
      </c>
      <c r="W297" s="8">
        <v>1829170</v>
      </c>
      <c r="X297" s="8">
        <v>224960</v>
      </c>
      <c r="Y297" s="26">
        <f t="shared" si="71"/>
        <v>6832752</v>
      </c>
      <c r="Z297" s="8">
        <v>763570</v>
      </c>
      <c r="AA297" s="8">
        <v>0</v>
      </c>
      <c r="AB297" s="26">
        <f t="shared" si="65"/>
        <v>7596322</v>
      </c>
      <c r="AD297" s="6">
        <v>45584</v>
      </c>
      <c r="AE297" s="8">
        <v>1795627</v>
      </c>
      <c r="AF297" s="8">
        <v>827320</v>
      </c>
      <c r="AG297" s="8">
        <v>305650</v>
      </c>
      <c r="AH297" s="5">
        <f t="shared" si="61"/>
        <v>2928597</v>
      </c>
      <c r="AI297" s="8">
        <v>786650</v>
      </c>
      <c r="AJ297" s="8"/>
      <c r="AK297" s="5">
        <f t="shared" si="69"/>
        <v>3715247</v>
      </c>
      <c r="AM297" s="6">
        <v>45950</v>
      </c>
      <c r="AN297" s="8">
        <v>6536860</v>
      </c>
      <c r="AO297" s="8">
        <v>981920</v>
      </c>
      <c r="AP297" s="8">
        <v>672190</v>
      </c>
      <c r="AQ297" s="5">
        <f t="shared" si="72"/>
        <v>8190970</v>
      </c>
      <c r="AR297" s="8">
        <v>884000</v>
      </c>
      <c r="AS297" s="5">
        <v>206300</v>
      </c>
      <c r="AT297" s="8">
        <f t="shared" si="68"/>
        <v>1090300</v>
      </c>
      <c r="AU297" s="8">
        <v>75000</v>
      </c>
      <c r="AV297" s="5">
        <f t="shared" si="70"/>
        <v>9356270</v>
      </c>
      <c r="AX297" s="6">
        <v>46316</v>
      </c>
      <c r="BB297" s="5"/>
      <c r="BD297" s="5"/>
      <c r="BG297" s="5"/>
    </row>
    <row r="298" spans="1:59">
      <c r="A298" s="13">
        <v>44128</v>
      </c>
      <c r="B298" s="11">
        <v>1735829</v>
      </c>
      <c r="C298" s="11">
        <v>1095810</v>
      </c>
      <c r="D298" s="11">
        <f t="shared" si="66"/>
        <v>2831639</v>
      </c>
      <c r="F298" s="13">
        <v>44492</v>
      </c>
      <c r="G298" s="11">
        <v>7504232</v>
      </c>
      <c r="H298" s="11">
        <v>571970</v>
      </c>
      <c r="I298" s="11">
        <v>286090</v>
      </c>
      <c r="J298" s="11">
        <v>107400</v>
      </c>
      <c r="K298" s="7">
        <f t="shared" si="62"/>
        <v>8469692</v>
      </c>
      <c r="M298" s="6">
        <v>44856</v>
      </c>
      <c r="N298" s="5">
        <v>1069776</v>
      </c>
      <c r="O298" s="5">
        <v>535690</v>
      </c>
      <c r="P298" s="5">
        <v>19000</v>
      </c>
      <c r="Q298" s="5">
        <f t="shared" si="63"/>
        <v>1624466</v>
      </c>
      <c r="R298" s="5">
        <v>29800</v>
      </c>
      <c r="S298" s="5">
        <f t="shared" si="73"/>
        <v>1654266</v>
      </c>
      <c r="U298" s="6">
        <v>45220</v>
      </c>
      <c r="V298" s="8">
        <v>2406815</v>
      </c>
      <c r="W298" s="8">
        <v>791360</v>
      </c>
      <c r="X298" s="8">
        <v>226550</v>
      </c>
      <c r="Y298" s="26">
        <f t="shared" si="71"/>
        <v>3424725</v>
      </c>
      <c r="Z298" s="8">
        <v>886250</v>
      </c>
      <c r="AA298" s="8">
        <v>0</v>
      </c>
      <c r="AB298" s="26">
        <f t="shared" si="65"/>
        <v>4310975</v>
      </c>
      <c r="AD298" s="6">
        <v>45585</v>
      </c>
      <c r="AE298" s="8">
        <v>4503938</v>
      </c>
      <c r="AF298" s="8">
        <v>1807720</v>
      </c>
      <c r="AG298" s="8">
        <v>197530</v>
      </c>
      <c r="AH298" s="5">
        <f t="shared" ref="AH298:AH361" si="74">SUM(AE298:AG298)</f>
        <v>6509188</v>
      </c>
      <c r="AI298" s="8">
        <v>555070</v>
      </c>
      <c r="AJ298" s="8"/>
      <c r="AK298" s="5">
        <f t="shared" si="69"/>
        <v>7064258</v>
      </c>
      <c r="AM298" s="6">
        <v>45951</v>
      </c>
      <c r="AN298" s="8">
        <v>5260580</v>
      </c>
      <c r="AO298" s="8">
        <v>1122110</v>
      </c>
      <c r="AP298" s="8">
        <v>917300</v>
      </c>
      <c r="AQ298" s="5">
        <f t="shared" si="72"/>
        <v>7299990</v>
      </c>
      <c r="AR298" s="8">
        <v>1264220</v>
      </c>
      <c r="AS298" s="5">
        <v>143700</v>
      </c>
      <c r="AT298" s="8">
        <f t="shared" si="68"/>
        <v>1407920</v>
      </c>
      <c r="AU298" s="8">
        <v>377880</v>
      </c>
      <c r="AV298" s="5">
        <f t="shared" si="70"/>
        <v>9085790</v>
      </c>
      <c r="AX298" s="6">
        <v>46317</v>
      </c>
      <c r="BB298" s="5"/>
      <c r="BD298" s="5"/>
      <c r="BG298" s="5"/>
    </row>
    <row r="299" spans="1:59">
      <c r="A299" s="13">
        <v>44129</v>
      </c>
      <c r="B299" s="11">
        <v>2770942</v>
      </c>
      <c r="C299" s="11">
        <v>2103750</v>
      </c>
      <c r="D299" s="11">
        <f t="shared" si="66"/>
        <v>4874692</v>
      </c>
      <c r="F299" s="13">
        <v>44493</v>
      </c>
      <c r="G299" s="11">
        <v>5783598</v>
      </c>
      <c r="H299" s="11">
        <v>1273773</v>
      </c>
      <c r="I299" s="11">
        <v>272090</v>
      </c>
      <c r="J299" s="11">
        <v>189400</v>
      </c>
      <c r="K299" s="7">
        <f t="shared" si="62"/>
        <v>7518861</v>
      </c>
      <c r="M299" s="6">
        <v>44857</v>
      </c>
      <c r="N299" s="5">
        <v>3199451</v>
      </c>
      <c r="O299" s="5">
        <v>1305900</v>
      </c>
      <c r="P299" s="5">
        <v>80400</v>
      </c>
      <c r="Q299" s="5">
        <f t="shared" si="63"/>
        <v>4585751</v>
      </c>
      <c r="R299" s="5">
        <v>29800</v>
      </c>
      <c r="S299" s="5">
        <f t="shared" si="73"/>
        <v>4615551</v>
      </c>
      <c r="U299" s="6">
        <v>45221</v>
      </c>
      <c r="V299" s="8">
        <v>2173836</v>
      </c>
      <c r="W299" s="8">
        <v>1111820</v>
      </c>
      <c r="X299" s="8">
        <v>69600</v>
      </c>
      <c r="Y299" s="26">
        <f t="shared" si="71"/>
        <v>3355256</v>
      </c>
      <c r="Z299" s="8">
        <v>768280</v>
      </c>
      <c r="AA299" s="8">
        <v>0</v>
      </c>
      <c r="AB299" s="26">
        <f t="shared" si="65"/>
        <v>4123536</v>
      </c>
      <c r="AD299" s="6">
        <v>45586</v>
      </c>
      <c r="AE299" s="8">
        <v>6392872</v>
      </c>
      <c r="AF299" s="8">
        <v>2376410</v>
      </c>
      <c r="AG299" s="8">
        <v>416240</v>
      </c>
      <c r="AH299" s="5">
        <f t="shared" si="74"/>
        <v>9185522</v>
      </c>
      <c r="AI299" s="8">
        <v>993630</v>
      </c>
      <c r="AJ299" s="8"/>
      <c r="AK299" s="5">
        <f t="shared" si="69"/>
        <v>10179152</v>
      </c>
      <c r="AM299" s="6">
        <v>45952</v>
      </c>
      <c r="AN299" s="8">
        <v>3079240</v>
      </c>
      <c r="AO299" s="8">
        <v>434240</v>
      </c>
      <c r="AP299" s="8">
        <v>527060</v>
      </c>
      <c r="AQ299" s="5">
        <f t="shared" si="72"/>
        <v>4040540</v>
      </c>
      <c r="AR299" s="8">
        <v>1077630</v>
      </c>
      <c r="AS299" s="5">
        <v>207600</v>
      </c>
      <c r="AT299" s="8">
        <f t="shared" si="68"/>
        <v>1285230</v>
      </c>
      <c r="AU299" s="8">
        <v>203500</v>
      </c>
      <c r="AV299" s="5">
        <f t="shared" si="70"/>
        <v>5529270</v>
      </c>
      <c r="AX299" s="6">
        <v>46318</v>
      </c>
      <c r="BB299" s="5"/>
      <c r="BD299" s="5"/>
      <c r="BG299" s="5"/>
    </row>
    <row r="300" spans="1:59">
      <c r="A300" s="13">
        <v>44130</v>
      </c>
      <c r="B300" s="11">
        <v>6260003</v>
      </c>
      <c r="C300" s="11">
        <v>4444490</v>
      </c>
      <c r="D300" s="11">
        <f t="shared" si="66"/>
        <v>10704493</v>
      </c>
      <c r="F300" s="13">
        <v>44494</v>
      </c>
      <c r="G300" s="11">
        <v>3635145</v>
      </c>
      <c r="H300" s="11">
        <v>1406525</v>
      </c>
      <c r="I300" s="11">
        <v>286090</v>
      </c>
      <c r="J300" s="11">
        <v>330100</v>
      </c>
      <c r="K300" s="7">
        <f t="shared" si="62"/>
        <v>5657860</v>
      </c>
      <c r="M300" s="6">
        <v>44858</v>
      </c>
      <c r="N300" s="5">
        <v>5471368</v>
      </c>
      <c r="O300" s="5">
        <v>1718270</v>
      </c>
      <c r="P300" s="5">
        <v>88400</v>
      </c>
      <c r="Q300" s="5">
        <f t="shared" si="63"/>
        <v>7278038</v>
      </c>
      <c r="R300" s="5">
        <v>113320</v>
      </c>
      <c r="S300" s="5">
        <f t="shared" si="73"/>
        <v>7391358</v>
      </c>
      <c r="U300" s="6">
        <v>45222</v>
      </c>
      <c r="V300" s="8">
        <v>5635476</v>
      </c>
      <c r="W300" s="8">
        <v>1879680</v>
      </c>
      <c r="X300" s="8">
        <v>167160</v>
      </c>
      <c r="Y300" s="26">
        <f t="shared" si="71"/>
        <v>7682316</v>
      </c>
      <c r="Z300" s="8">
        <v>1356850</v>
      </c>
      <c r="AA300" s="8">
        <v>0</v>
      </c>
      <c r="AB300" s="26">
        <f t="shared" si="65"/>
        <v>9039166</v>
      </c>
      <c r="AD300" s="6">
        <v>45587</v>
      </c>
      <c r="AE300" s="8">
        <v>8976001</v>
      </c>
      <c r="AF300" s="8">
        <v>1846100</v>
      </c>
      <c r="AG300" s="8">
        <v>265390</v>
      </c>
      <c r="AH300" s="5">
        <f t="shared" si="74"/>
        <v>11087491</v>
      </c>
      <c r="AI300" s="8">
        <v>1428230</v>
      </c>
      <c r="AJ300" s="8"/>
      <c r="AK300" s="5">
        <f t="shared" si="69"/>
        <v>12515721</v>
      </c>
      <c r="AM300" s="6">
        <v>45953</v>
      </c>
      <c r="AN300" s="8">
        <v>11640950</v>
      </c>
      <c r="AO300" s="8">
        <v>3034090</v>
      </c>
      <c r="AP300" s="8">
        <v>331040</v>
      </c>
      <c r="AQ300" s="5">
        <f t="shared" si="72"/>
        <v>15006080</v>
      </c>
      <c r="AR300" s="8">
        <v>891460</v>
      </c>
      <c r="AS300" s="5">
        <v>175000</v>
      </c>
      <c r="AT300" s="8">
        <f t="shared" si="68"/>
        <v>1066460</v>
      </c>
      <c r="AU300" s="8">
        <v>225000</v>
      </c>
      <c r="AV300" s="5">
        <f t="shared" si="70"/>
        <v>16297540</v>
      </c>
      <c r="AX300" s="6">
        <v>46319</v>
      </c>
      <c r="BB300" s="5"/>
      <c r="BD300" s="5"/>
      <c r="BG300" s="5"/>
    </row>
    <row r="301" spans="1:59">
      <c r="A301" s="13">
        <v>44131</v>
      </c>
      <c r="B301" s="11">
        <v>22355190</v>
      </c>
      <c r="C301" s="11">
        <v>5257580</v>
      </c>
      <c r="D301" s="11">
        <f t="shared" si="66"/>
        <v>27612770</v>
      </c>
      <c r="F301" s="13">
        <v>44495</v>
      </c>
      <c r="G301" s="11">
        <v>6798572</v>
      </c>
      <c r="H301" s="11">
        <v>1701100</v>
      </c>
      <c r="I301" s="11">
        <v>502280</v>
      </c>
      <c r="J301" s="11">
        <v>176500</v>
      </c>
      <c r="K301" s="7">
        <f t="shared" si="62"/>
        <v>9178452</v>
      </c>
      <c r="M301" s="6">
        <v>44859</v>
      </c>
      <c r="N301" s="5">
        <v>8700962</v>
      </c>
      <c r="O301" s="5">
        <v>2669940</v>
      </c>
      <c r="P301" s="5">
        <v>111240</v>
      </c>
      <c r="Q301" s="5">
        <f t="shared" si="63"/>
        <v>11482142</v>
      </c>
      <c r="R301" s="5">
        <v>72010</v>
      </c>
      <c r="S301" s="5">
        <f t="shared" si="73"/>
        <v>11554152</v>
      </c>
      <c r="U301" s="6">
        <v>45223</v>
      </c>
      <c r="V301" s="8">
        <v>7918123</v>
      </c>
      <c r="W301" s="8">
        <v>3109780</v>
      </c>
      <c r="X301" s="8">
        <v>198190</v>
      </c>
      <c r="Y301" s="26">
        <f t="shared" si="71"/>
        <v>11226093</v>
      </c>
      <c r="Z301" s="8">
        <v>862790</v>
      </c>
      <c r="AA301" s="8">
        <v>0</v>
      </c>
      <c r="AB301" s="26">
        <f t="shared" si="65"/>
        <v>12088883</v>
      </c>
      <c r="AD301" s="6">
        <v>45588</v>
      </c>
      <c r="AE301" s="8">
        <v>11222005</v>
      </c>
      <c r="AF301" s="8">
        <v>2210010</v>
      </c>
      <c r="AG301" s="8">
        <v>272310</v>
      </c>
      <c r="AH301" s="5">
        <f t="shared" si="74"/>
        <v>13704325</v>
      </c>
      <c r="AI301" s="8">
        <v>1359380</v>
      </c>
      <c r="AJ301" s="8"/>
      <c r="AK301" s="5">
        <f t="shared" si="69"/>
        <v>15063705</v>
      </c>
      <c r="AM301" s="6">
        <v>45954</v>
      </c>
      <c r="AN301" s="8">
        <v>7441098</v>
      </c>
      <c r="AO301" s="8">
        <v>2263060</v>
      </c>
      <c r="AP301" s="8">
        <v>209270</v>
      </c>
      <c r="AQ301" s="5">
        <f t="shared" si="72"/>
        <v>9913428</v>
      </c>
      <c r="AR301" s="8">
        <v>691350</v>
      </c>
      <c r="AS301" s="5">
        <v>103800</v>
      </c>
      <c r="AT301" s="8">
        <f t="shared" si="68"/>
        <v>795150</v>
      </c>
      <c r="AU301" s="8">
        <v>140430</v>
      </c>
      <c r="AV301" s="5">
        <f t="shared" si="70"/>
        <v>10849008</v>
      </c>
      <c r="AX301" s="6">
        <v>46320</v>
      </c>
      <c r="BB301" s="5"/>
      <c r="BD301" s="5"/>
      <c r="BG301" s="5"/>
    </row>
    <row r="302" spans="1:59">
      <c r="A302" s="13">
        <v>44132</v>
      </c>
      <c r="B302" s="11">
        <v>22355890</v>
      </c>
      <c r="C302" s="11">
        <v>5257580</v>
      </c>
      <c r="D302" s="11">
        <f t="shared" si="66"/>
        <v>27613470</v>
      </c>
      <c r="F302" s="13">
        <v>44496</v>
      </c>
      <c r="G302" s="11">
        <v>6629747</v>
      </c>
      <c r="H302" s="11">
        <v>1836550</v>
      </c>
      <c r="I302" s="11">
        <v>350740</v>
      </c>
      <c r="J302" s="11">
        <v>207300</v>
      </c>
      <c r="K302" s="7">
        <f t="shared" si="62"/>
        <v>9024337</v>
      </c>
      <c r="M302" s="6">
        <v>44860</v>
      </c>
      <c r="N302" s="5">
        <v>6745580</v>
      </c>
      <c r="O302" s="5">
        <v>1816390</v>
      </c>
      <c r="P302" s="5">
        <v>206160</v>
      </c>
      <c r="Q302" s="5">
        <f t="shared" si="63"/>
        <v>8768130</v>
      </c>
      <c r="R302" s="5">
        <v>41310</v>
      </c>
      <c r="S302" s="5">
        <f t="shared" si="73"/>
        <v>8809440</v>
      </c>
      <c r="U302" s="6">
        <v>45224</v>
      </c>
      <c r="V302" s="8">
        <v>9774358</v>
      </c>
      <c r="W302" s="8">
        <v>3016640</v>
      </c>
      <c r="X302" s="8">
        <v>353540</v>
      </c>
      <c r="Y302" s="26">
        <f t="shared" si="71"/>
        <v>13144538</v>
      </c>
      <c r="Z302" s="8">
        <v>904780</v>
      </c>
      <c r="AA302" s="8">
        <v>0</v>
      </c>
      <c r="AB302" s="26">
        <f t="shared" si="65"/>
        <v>14049318</v>
      </c>
      <c r="AD302" s="6">
        <v>45589</v>
      </c>
      <c r="AE302" s="8">
        <v>8486583</v>
      </c>
      <c r="AF302" s="8">
        <v>1683580</v>
      </c>
      <c r="AG302" s="8">
        <v>297900</v>
      </c>
      <c r="AH302" s="5">
        <f t="shared" si="74"/>
        <v>10468063</v>
      </c>
      <c r="AI302" s="8">
        <v>1671690</v>
      </c>
      <c r="AJ302" s="8"/>
      <c r="AK302" s="5">
        <f t="shared" si="69"/>
        <v>12139753</v>
      </c>
      <c r="AM302" s="6">
        <v>45955</v>
      </c>
      <c r="AN302" s="8">
        <v>2922130</v>
      </c>
      <c r="AO302" s="8">
        <v>1098800</v>
      </c>
      <c r="AP302" s="8">
        <v>270240</v>
      </c>
      <c r="AQ302" s="5">
        <f t="shared" si="72"/>
        <v>4291170</v>
      </c>
      <c r="AR302" s="8">
        <v>285770</v>
      </c>
      <c r="AS302" s="5">
        <v>87500</v>
      </c>
      <c r="AT302" s="8">
        <f t="shared" si="68"/>
        <v>373270</v>
      </c>
      <c r="AU302" s="8">
        <v>16000</v>
      </c>
      <c r="AV302" s="5">
        <f t="shared" si="70"/>
        <v>4680440</v>
      </c>
      <c r="AX302" s="6">
        <v>46321</v>
      </c>
      <c r="BB302" s="5"/>
      <c r="BD302" s="5"/>
      <c r="BG302" s="5"/>
    </row>
    <row r="303" spans="1:59">
      <c r="A303" s="13">
        <v>44133</v>
      </c>
      <c r="B303" s="11">
        <v>14835730</v>
      </c>
      <c r="C303" s="11">
        <v>5986330</v>
      </c>
      <c r="D303" s="11">
        <f t="shared" si="66"/>
        <v>20822060</v>
      </c>
      <c r="F303" s="13">
        <v>44497</v>
      </c>
      <c r="G303" s="11">
        <v>8689104</v>
      </c>
      <c r="H303" s="11">
        <v>1609770</v>
      </c>
      <c r="I303" s="11">
        <v>327300</v>
      </c>
      <c r="J303" s="11">
        <v>158600</v>
      </c>
      <c r="K303" s="7">
        <f t="shared" si="62"/>
        <v>10784774</v>
      </c>
      <c r="M303" s="6">
        <v>44861</v>
      </c>
      <c r="N303" s="5">
        <v>7103558</v>
      </c>
      <c r="O303" s="5">
        <v>2283806</v>
      </c>
      <c r="P303" s="5">
        <v>331700</v>
      </c>
      <c r="Q303" s="5">
        <f t="shared" si="63"/>
        <v>9719064</v>
      </c>
      <c r="R303" s="5">
        <v>59600</v>
      </c>
      <c r="S303" s="5">
        <f t="shared" si="73"/>
        <v>9778664</v>
      </c>
      <c r="U303" s="6">
        <v>45225</v>
      </c>
      <c r="V303" s="8">
        <v>9396447</v>
      </c>
      <c r="W303" s="8">
        <v>2037500</v>
      </c>
      <c r="X303" s="8">
        <v>584610</v>
      </c>
      <c r="Y303" s="26">
        <f t="shared" si="71"/>
        <v>12018557</v>
      </c>
      <c r="Z303" s="8">
        <v>683850</v>
      </c>
      <c r="AA303" s="8">
        <v>0</v>
      </c>
      <c r="AB303" s="26">
        <f t="shared" si="65"/>
        <v>12702407</v>
      </c>
      <c r="AD303" s="6">
        <v>45590</v>
      </c>
      <c r="AE303" s="8">
        <v>3784089</v>
      </c>
      <c r="AF303" s="8">
        <v>1313580</v>
      </c>
      <c r="AG303" s="8">
        <v>141020</v>
      </c>
      <c r="AH303" s="5">
        <f t="shared" si="74"/>
        <v>5238689</v>
      </c>
      <c r="AI303" s="8">
        <v>1303380</v>
      </c>
      <c r="AJ303" s="8"/>
      <c r="AK303" s="5">
        <f t="shared" si="69"/>
        <v>6542069</v>
      </c>
      <c r="AM303" s="6">
        <v>45956</v>
      </c>
      <c r="AN303" s="8">
        <v>4982260</v>
      </c>
      <c r="AO303" s="8">
        <v>1049020</v>
      </c>
      <c r="AP303" s="8">
        <v>411650</v>
      </c>
      <c r="AQ303" s="5">
        <f t="shared" si="72"/>
        <v>6442930</v>
      </c>
      <c r="AR303" s="8">
        <v>440250</v>
      </c>
      <c r="AS303" s="5">
        <v>0</v>
      </c>
      <c r="AT303" s="8">
        <f t="shared" si="68"/>
        <v>440250</v>
      </c>
      <c r="AU303" s="8">
        <v>156760</v>
      </c>
      <c r="AV303" s="5">
        <f t="shared" si="70"/>
        <v>7039940</v>
      </c>
      <c r="AX303" s="6">
        <v>46322</v>
      </c>
      <c r="BB303" s="5"/>
      <c r="BD303" s="5"/>
      <c r="BG303" s="5"/>
    </row>
    <row r="304" spans="1:59">
      <c r="A304" s="13">
        <v>44134</v>
      </c>
      <c r="B304" s="11">
        <v>6922563</v>
      </c>
      <c r="C304" s="11">
        <v>768350</v>
      </c>
      <c r="D304" s="11">
        <f t="shared" si="66"/>
        <v>7690913</v>
      </c>
      <c r="F304" s="13">
        <v>44498</v>
      </c>
      <c r="G304" s="11">
        <v>4827853</v>
      </c>
      <c r="H304" s="11">
        <v>2052770</v>
      </c>
      <c r="I304" s="11">
        <v>257200</v>
      </c>
      <c r="J304" s="11">
        <v>71600</v>
      </c>
      <c r="K304" s="7">
        <f t="shared" si="62"/>
        <v>7209423</v>
      </c>
      <c r="M304" s="6">
        <v>44862</v>
      </c>
      <c r="N304" s="5">
        <v>6417850</v>
      </c>
      <c r="O304" s="5">
        <v>2162740</v>
      </c>
      <c r="P304" s="5">
        <v>59890</v>
      </c>
      <c r="Q304" s="5">
        <f t="shared" si="63"/>
        <v>8640480</v>
      </c>
      <c r="R304" s="5">
        <v>29800</v>
      </c>
      <c r="S304" s="5">
        <f t="shared" si="73"/>
        <v>8670280</v>
      </c>
      <c r="U304" s="6">
        <v>45226</v>
      </c>
      <c r="V304" s="8">
        <v>7174563</v>
      </c>
      <c r="W304" s="8">
        <v>2050870</v>
      </c>
      <c r="X304" s="8">
        <v>375930</v>
      </c>
      <c r="Y304" s="26">
        <f t="shared" si="71"/>
        <v>9601363</v>
      </c>
      <c r="Z304" s="8">
        <v>2383290</v>
      </c>
      <c r="AA304" s="8">
        <v>0</v>
      </c>
      <c r="AB304" s="26">
        <f t="shared" si="65"/>
        <v>11984653</v>
      </c>
      <c r="AD304" s="6">
        <v>45591</v>
      </c>
      <c r="AE304" s="8">
        <v>2968776</v>
      </c>
      <c r="AF304" s="8">
        <v>884360</v>
      </c>
      <c r="AG304" s="8">
        <v>78290</v>
      </c>
      <c r="AH304" s="5">
        <f t="shared" si="74"/>
        <v>3931426</v>
      </c>
      <c r="AI304" s="8">
        <v>360330</v>
      </c>
      <c r="AJ304" s="8"/>
      <c r="AK304" s="5">
        <f t="shared" si="69"/>
        <v>4291756</v>
      </c>
      <c r="AM304" s="6">
        <v>45957</v>
      </c>
      <c r="AN304" s="8">
        <v>8584150</v>
      </c>
      <c r="AO304" s="8">
        <v>2421310</v>
      </c>
      <c r="AP304" s="8">
        <v>294090</v>
      </c>
      <c r="AQ304" s="5">
        <f t="shared" si="72"/>
        <v>11299550</v>
      </c>
      <c r="AR304" s="8">
        <v>2524920</v>
      </c>
      <c r="AS304" s="5">
        <v>113400</v>
      </c>
      <c r="AT304" s="8">
        <f t="shared" si="68"/>
        <v>2638320</v>
      </c>
      <c r="AU304" s="8">
        <v>213500</v>
      </c>
      <c r="AV304" s="5">
        <f t="shared" si="70"/>
        <v>14151370</v>
      </c>
      <c r="AX304" s="6">
        <v>46323</v>
      </c>
      <c r="BB304" s="5"/>
      <c r="BD304" s="5"/>
      <c r="BG304" s="5"/>
    </row>
    <row r="305" spans="1:59">
      <c r="A305" s="13">
        <v>44135</v>
      </c>
      <c r="B305" s="11">
        <v>625230</v>
      </c>
      <c r="C305" s="11">
        <v>2799479</v>
      </c>
      <c r="D305" s="11">
        <f t="shared" si="66"/>
        <v>3424709</v>
      </c>
      <c r="F305" s="13">
        <v>44499</v>
      </c>
      <c r="G305" s="11">
        <v>1440405</v>
      </c>
      <c r="H305" s="11">
        <v>584920</v>
      </c>
      <c r="I305" s="11">
        <v>92530</v>
      </c>
      <c r="J305" s="11">
        <v>51200</v>
      </c>
      <c r="K305" s="7">
        <f t="shared" si="62"/>
        <v>2169055</v>
      </c>
      <c r="M305" s="6">
        <v>44863</v>
      </c>
      <c r="N305" s="5">
        <v>497542</v>
      </c>
      <c r="O305" s="5">
        <v>333100</v>
      </c>
      <c r="P305" s="5">
        <v>0</v>
      </c>
      <c r="Q305" s="5">
        <f t="shared" si="63"/>
        <v>830642</v>
      </c>
      <c r="R305" s="5">
        <v>29800</v>
      </c>
      <c r="S305" s="5">
        <f t="shared" si="73"/>
        <v>860442</v>
      </c>
      <c r="U305" s="6">
        <v>45227</v>
      </c>
      <c r="V305" s="8">
        <v>2553245</v>
      </c>
      <c r="W305" s="8">
        <v>949720</v>
      </c>
      <c r="X305" s="8">
        <v>57320</v>
      </c>
      <c r="Y305" s="26">
        <f t="shared" si="71"/>
        <v>3560285</v>
      </c>
      <c r="Z305" s="8">
        <v>839760</v>
      </c>
      <c r="AA305" s="8">
        <v>11500</v>
      </c>
      <c r="AB305" s="26">
        <f t="shared" si="65"/>
        <v>4411545</v>
      </c>
      <c r="AD305" s="6">
        <v>45592</v>
      </c>
      <c r="AE305" s="8">
        <v>3262708</v>
      </c>
      <c r="AF305" s="8">
        <v>876210</v>
      </c>
      <c r="AG305" s="8">
        <v>297690</v>
      </c>
      <c r="AH305" s="5">
        <f t="shared" si="74"/>
        <v>4436608</v>
      </c>
      <c r="AI305" s="8">
        <v>1034290</v>
      </c>
      <c r="AJ305" s="8"/>
      <c r="AK305" s="5">
        <f t="shared" si="69"/>
        <v>5470898</v>
      </c>
      <c r="AM305" s="6">
        <v>45958</v>
      </c>
      <c r="AN305" s="8">
        <v>9908953</v>
      </c>
      <c r="AO305" s="8">
        <v>1873880</v>
      </c>
      <c r="AP305" s="8">
        <v>137260</v>
      </c>
      <c r="AQ305" s="5">
        <f t="shared" si="72"/>
        <v>11920093</v>
      </c>
      <c r="AR305" s="8">
        <v>1939320</v>
      </c>
      <c r="AS305" s="5">
        <v>238600</v>
      </c>
      <c r="AT305" s="8">
        <f t="shared" si="68"/>
        <v>2177920</v>
      </c>
      <c r="AU305" s="8">
        <v>135810</v>
      </c>
      <c r="AV305" s="5">
        <f t="shared" si="70"/>
        <v>14233823</v>
      </c>
      <c r="AX305" s="6">
        <v>46324</v>
      </c>
      <c r="BB305" s="5"/>
      <c r="BD305" s="5"/>
      <c r="BG305" s="5"/>
    </row>
    <row r="306" spans="1:59">
      <c r="A306" s="13">
        <v>44136</v>
      </c>
      <c r="B306" s="14">
        <v>3053816</v>
      </c>
      <c r="C306" s="14">
        <v>2082870</v>
      </c>
      <c r="D306" s="11">
        <f t="shared" si="66"/>
        <v>5136686</v>
      </c>
      <c r="F306" s="13">
        <v>44500</v>
      </c>
      <c r="G306" s="11">
        <v>2893661</v>
      </c>
      <c r="H306" s="11">
        <v>1038910</v>
      </c>
      <c r="I306" s="11">
        <v>198750</v>
      </c>
      <c r="J306" s="11">
        <v>53700</v>
      </c>
      <c r="K306" s="7">
        <f t="shared" si="62"/>
        <v>4185021</v>
      </c>
      <c r="M306" s="6">
        <v>44864</v>
      </c>
      <c r="N306" s="5">
        <v>1606203</v>
      </c>
      <c r="O306" s="5">
        <v>580950</v>
      </c>
      <c r="P306" s="5">
        <v>207780</v>
      </c>
      <c r="Q306" s="5">
        <f t="shared" si="63"/>
        <v>2394933</v>
      </c>
      <c r="R306" s="5">
        <v>43210</v>
      </c>
      <c r="S306" s="5">
        <f t="shared" si="73"/>
        <v>2438143</v>
      </c>
      <c r="U306" s="6">
        <v>45228</v>
      </c>
      <c r="V306" s="8">
        <v>3143523</v>
      </c>
      <c r="W306" s="8">
        <v>612340</v>
      </c>
      <c r="X306" s="8">
        <v>169200</v>
      </c>
      <c r="Y306" s="26">
        <f t="shared" si="71"/>
        <v>3925063</v>
      </c>
      <c r="Z306" s="8">
        <v>1543770</v>
      </c>
      <c r="AA306" s="8">
        <v>0</v>
      </c>
      <c r="AB306" s="26">
        <f t="shared" si="65"/>
        <v>5468833</v>
      </c>
      <c r="AD306" s="6">
        <v>45593</v>
      </c>
      <c r="AE306" s="8">
        <v>5282660</v>
      </c>
      <c r="AF306" s="8">
        <v>1280430</v>
      </c>
      <c r="AG306" s="8">
        <v>488130</v>
      </c>
      <c r="AH306" s="5">
        <f t="shared" si="74"/>
        <v>7051220</v>
      </c>
      <c r="AI306" s="8">
        <v>1396090</v>
      </c>
      <c r="AJ306" s="8"/>
      <c r="AK306" s="5">
        <f t="shared" si="69"/>
        <v>8447310</v>
      </c>
      <c r="AM306" s="6">
        <v>45959</v>
      </c>
      <c r="AN306" s="8">
        <v>9387550</v>
      </c>
      <c r="AO306" s="8">
        <v>2392090</v>
      </c>
      <c r="AP306" s="8">
        <v>387910</v>
      </c>
      <c r="AQ306" s="5">
        <f t="shared" si="72"/>
        <v>12167550</v>
      </c>
      <c r="AR306" s="8">
        <v>1575360</v>
      </c>
      <c r="AS306" s="5">
        <v>124500</v>
      </c>
      <c r="AT306" s="8">
        <f t="shared" si="68"/>
        <v>1699860</v>
      </c>
      <c r="AU306" s="8">
        <v>250000</v>
      </c>
      <c r="AV306" s="5">
        <f t="shared" si="70"/>
        <v>14117410</v>
      </c>
      <c r="AX306" s="6">
        <v>46325</v>
      </c>
      <c r="BB306" s="5"/>
      <c r="BD306" s="5"/>
      <c r="BG306" s="5"/>
    </row>
    <row r="307" spans="1:59">
      <c r="A307" s="13">
        <v>44137</v>
      </c>
      <c r="B307" s="14">
        <v>15175638</v>
      </c>
      <c r="C307" s="14">
        <v>3083470</v>
      </c>
      <c r="D307" s="11">
        <f t="shared" si="66"/>
        <v>18259108</v>
      </c>
      <c r="F307" s="13">
        <v>44501</v>
      </c>
      <c r="G307" s="11">
        <v>7852558</v>
      </c>
      <c r="H307" s="11">
        <v>2637918</v>
      </c>
      <c r="I307" s="11">
        <v>570580</v>
      </c>
      <c r="J307" s="11">
        <v>378800</v>
      </c>
      <c r="K307" s="7">
        <f t="shared" si="62"/>
        <v>11439856</v>
      </c>
      <c r="M307" s="6">
        <v>44865</v>
      </c>
      <c r="N307" s="5">
        <v>6808939</v>
      </c>
      <c r="O307" s="5">
        <v>3510230</v>
      </c>
      <c r="P307" s="5">
        <v>527340</v>
      </c>
      <c r="Q307" s="5">
        <f t="shared" si="63"/>
        <v>10846509</v>
      </c>
      <c r="R307" s="5">
        <v>99675</v>
      </c>
      <c r="S307" s="5">
        <f t="shared" si="73"/>
        <v>10946184</v>
      </c>
      <c r="U307" s="6">
        <v>45229</v>
      </c>
      <c r="V307" s="8">
        <v>6656812</v>
      </c>
      <c r="W307" s="8">
        <v>2523600</v>
      </c>
      <c r="X307" s="8">
        <v>379250</v>
      </c>
      <c r="Y307" s="26">
        <f t="shared" si="71"/>
        <v>9559662</v>
      </c>
      <c r="Z307" s="8">
        <v>1815180</v>
      </c>
      <c r="AA307" s="8">
        <v>0</v>
      </c>
      <c r="AB307" s="26">
        <f t="shared" si="65"/>
        <v>11374842</v>
      </c>
      <c r="AD307" s="6">
        <v>45594</v>
      </c>
      <c r="AE307" s="8">
        <v>8890195</v>
      </c>
      <c r="AF307" s="8">
        <v>2930735</v>
      </c>
      <c r="AG307" s="8">
        <v>474270</v>
      </c>
      <c r="AH307" s="5">
        <f t="shared" si="74"/>
        <v>12295200</v>
      </c>
      <c r="AI307" s="8">
        <v>1714430</v>
      </c>
      <c r="AJ307" s="8"/>
      <c r="AK307" s="5">
        <f t="shared" si="69"/>
        <v>14009630</v>
      </c>
      <c r="AM307" s="6">
        <v>45960</v>
      </c>
      <c r="AN307" s="8">
        <v>14442870</v>
      </c>
      <c r="AO307" s="8">
        <v>3890560</v>
      </c>
      <c r="AP307" s="8">
        <v>411770</v>
      </c>
      <c r="AQ307" s="5">
        <f t="shared" si="72"/>
        <v>18745200</v>
      </c>
      <c r="AR307" s="8">
        <v>1115110</v>
      </c>
      <c r="AS307" s="5">
        <v>238600</v>
      </c>
      <c r="AT307" s="8">
        <f t="shared" si="68"/>
        <v>1353710</v>
      </c>
      <c r="AU307" s="8">
        <v>176780</v>
      </c>
      <c r="AV307" s="5">
        <f t="shared" si="70"/>
        <v>20275690</v>
      </c>
      <c r="AX307" s="6">
        <v>46326</v>
      </c>
      <c r="BB307" s="5"/>
      <c r="BD307" s="5"/>
      <c r="BG307" s="5"/>
    </row>
    <row r="308" spans="1:59">
      <c r="A308" s="13">
        <v>44138</v>
      </c>
      <c r="B308" s="14">
        <v>16611222</v>
      </c>
      <c r="C308" s="14">
        <v>2533410</v>
      </c>
      <c r="D308" s="11">
        <f t="shared" si="66"/>
        <v>19144632</v>
      </c>
      <c r="F308" s="13">
        <v>44502</v>
      </c>
      <c r="G308" s="11">
        <v>9676081</v>
      </c>
      <c r="H308" s="11">
        <v>1461900</v>
      </c>
      <c r="I308" s="11">
        <v>438100</v>
      </c>
      <c r="J308" s="11">
        <v>189400</v>
      </c>
      <c r="K308" s="7">
        <f t="shared" si="62"/>
        <v>11765481</v>
      </c>
      <c r="M308" s="6">
        <v>44866</v>
      </c>
      <c r="N308" s="5">
        <v>13434980</v>
      </c>
      <c r="O308" s="5">
        <v>3977910</v>
      </c>
      <c r="P308" s="5">
        <v>307610</v>
      </c>
      <c r="Q308" s="5">
        <f t="shared" si="63"/>
        <v>17720500</v>
      </c>
      <c r="R308" s="5">
        <v>145510</v>
      </c>
      <c r="S308" s="5">
        <f t="shared" si="73"/>
        <v>17866010</v>
      </c>
      <c r="U308" s="6">
        <v>45230</v>
      </c>
      <c r="V308" s="8">
        <v>9639279</v>
      </c>
      <c r="W308" s="8">
        <v>2517145</v>
      </c>
      <c r="X308" s="8">
        <v>174080</v>
      </c>
      <c r="Y308" s="26">
        <f t="shared" si="71"/>
        <v>12330504</v>
      </c>
      <c r="Z308" s="8">
        <v>1565630</v>
      </c>
      <c r="AA308" s="8">
        <v>68800</v>
      </c>
      <c r="AB308" s="26">
        <f t="shared" si="65"/>
        <v>13964934</v>
      </c>
      <c r="AD308" s="6">
        <v>45595</v>
      </c>
      <c r="AE308" s="8">
        <v>12227597</v>
      </c>
      <c r="AF308" s="8">
        <v>2418920</v>
      </c>
      <c r="AG308" s="8">
        <v>253540</v>
      </c>
      <c r="AH308" s="5">
        <f t="shared" si="74"/>
        <v>14900057</v>
      </c>
      <c r="AI308" s="8">
        <v>1845350</v>
      </c>
      <c r="AJ308" s="8"/>
      <c r="AK308" s="5">
        <f t="shared" si="69"/>
        <v>16745407</v>
      </c>
      <c r="AM308" s="6">
        <v>45961</v>
      </c>
      <c r="AN308" s="8">
        <v>10675330</v>
      </c>
      <c r="AO308" s="8">
        <v>3028090</v>
      </c>
      <c r="AP308" s="8">
        <v>205710</v>
      </c>
      <c r="AQ308" s="5">
        <f t="shared" si="72"/>
        <v>13909130</v>
      </c>
      <c r="AR308" s="8">
        <v>1451110</v>
      </c>
      <c r="AS308" s="5">
        <v>137300</v>
      </c>
      <c r="AT308" s="8">
        <f t="shared" si="68"/>
        <v>1588410</v>
      </c>
      <c r="AU308" s="8">
        <v>178840</v>
      </c>
      <c r="AV308" s="5">
        <f t="shared" si="70"/>
        <v>15676380</v>
      </c>
      <c r="AX308" s="6">
        <v>46327</v>
      </c>
      <c r="BB308" s="5"/>
      <c r="BD308" s="5"/>
      <c r="BG308" s="5"/>
    </row>
    <row r="309" spans="1:59">
      <c r="A309" s="13">
        <v>44139</v>
      </c>
      <c r="B309" s="14">
        <v>10572881</v>
      </c>
      <c r="C309" s="14">
        <v>3863900</v>
      </c>
      <c r="D309" s="11">
        <f t="shared" si="66"/>
        <v>14436781</v>
      </c>
      <c r="F309" s="13">
        <v>44503</v>
      </c>
      <c r="G309" s="11">
        <v>9202153</v>
      </c>
      <c r="H309" s="11">
        <v>807110</v>
      </c>
      <c r="I309" s="11">
        <v>239640</v>
      </c>
      <c r="J309" s="11">
        <v>978650</v>
      </c>
      <c r="K309" s="7">
        <f t="shared" si="62"/>
        <v>11227553</v>
      </c>
      <c r="M309" s="6">
        <v>44867</v>
      </c>
      <c r="N309" s="5">
        <v>7848170</v>
      </c>
      <c r="O309" s="5">
        <v>3131020</v>
      </c>
      <c r="P309" s="5">
        <v>283940</v>
      </c>
      <c r="Q309" s="5">
        <f t="shared" si="63"/>
        <v>11263130</v>
      </c>
      <c r="R309" s="5">
        <v>171310</v>
      </c>
      <c r="S309" s="5">
        <f t="shared" si="73"/>
        <v>11434440</v>
      </c>
      <c r="U309" s="6">
        <v>45231</v>
      </c>
      <c r="V309" s="8">
        <v>12671032</v>
      </c>
      <c r="W309" s="8">
        <v>2820410</v>
      </c>
      <c r="X309" s="8">
        <v>226290</v>
      </c>
      <c r="Y309" s="26">
        <f t="shared" si="71"/>
        <v>15717732</v>
      </c>
      <c r="Z309" s="8">
        <v>2006380</v>
      </c>
      <c r="AA309" s="8">
        <v>0</v>
      </c>
      <c r="AB309" s="26">
        <f t="shared" si="65"/>
        <v>17724112</v>
      </c>
      <c r="AD309" s="6">
        <v>45596</v>
      </c>
      <c r="AE309" s="8">
        <v>10577008</v>
      </c>
      <c r="AF309" s="8">
        <v>2873570</v>
      </c>
      <c r="AG309" s="8">
        <v>551930</v>
      </c>
      <c r="AH309" s="5">
        <f t="shared" si="74"/>
        <v>14002508</v>
      </c>
      <c r="AI309" s="8">
        <v>752110</v>
      </c>
      <c r="AJ309" s="8"/>
      <c r="AK309" s="5">
        <f t="shared" si="69"/>
        <v>14754618</v>
      </c>
      <c r="AM309" s="6">
        <v>45962</v>
      </c>
      <c r="AN309" s="8">
        <v>1791730</v>
      </c>
      <c r="AO309" s="8">
        <v>663540</v>
      </c>
      <c r="AP309" s="8">
        <v>135460</v>
      </c>
      <c r="AQ309" s="5">
        <f t="shared" si="72"/>
        <v>2590730</v>
      </c>
      <c r="AR309" s="8">
        <v>1188500</v>
      </c>
      <c r="AS309" s="5">
        <v>231200</v>
      </c>
      <c r="AT309" s="8">
        <f t="shared" si="68"/>
        <v>1419700</v>
      </c>
      <c r="AU309" s="8">
        <v>0</v>
      </c>
      <c r="AV309" s="5">
        <f t="shared" si="70"/>
        <v>4010430</v>
      </c>
      <c r="AX309" s="6">
        <v>46328</v>
      </c>
      <c r="BB309" s="5"/>
      <c r="BD309" s="5"/>
      <c r="BG309" s="5"/>
    </row>
    <row r="310" spans="1:59">
      <c r="A310" s="13">
        <v>44140</v>
      </c>
      <c r="B310" s="14">
        <v>7131407</v>
      </c>
      <c r="C310" s="14">
        <v>2619660</v>
      </c>
      <c r="D310" s="11">
        <f t="shared" si="66"/>
        <v>9751067</v>
      </c>
      <c r="F310" s="13">
        <v>44504</v>
      </c>
      <c r="G310" s="11">
        <v>10466672</v>
      </c>
      <c r="H310" s="11">
        <v>939100</v>
      </c>
      <c r="I310" s="11">
        <v>305360</v>
      </c>
      <c r="J310" s="11">
        <v>625650</v>
      </c>
      <c r="K310" s="7">
        <f t="shared" si="62"/>
        <v>12336782</v>
      </c>
      <c r="M310" s="6">
        <v>44868</v>
      </c>
      <c r="N310" s="5">
        <v>6931743</v>
      </c>
      <c r="O310" s="5">
        <v>2830610</v>
      </c>
      <c r="P310" s="5">
        <v>164340</v>
      </c>
      <c r="Q310" s="5">
        <f t="shared" si="63"/>
        <v>9926693</v>
      </c>
      <c r="R310" s="5">
        <v>187330</v>
      </c>
      <c r="S310" s="5">
        <f t="shared" si="73"/>
        <v>10114023</v>
      </c>
      <c r="U310" s="6">
        <v>45232</v>
      </c>
      <c r="V310" s="8">
        <v>10939208</v>
      </c>
      <c r="W310" s="8">
        <v>3890720</v>
      </c>
      <c r="X310" s="8">
        <v>327680</v>
      </c>
      <c r="Y310" s="26">
        <f t="shared" si="71"/>
        <v>15157608</v>
      </c>
      <c r="Z310" s="8">
        <v>1438030</v>
      </c>
      <c r="AA310" s="8">
        <v>20400</v>
      </c>
      <c r="AB310" s="26">
        <f t="shared" si="65"/>
        <v>16616038</v>
      </c>
      <c r="AD310" s="6">
        <v>45597</v>
      </c>
      <c r="AE310" s="8">
        <v>12776357</v>
      </c>
      <c r="AF310" s="8">
        <v>2407655</v>
      </c>
      <c r="AG310" s="8">
        <v>431380</v>
      </c>
      <c r="AH310" s="5">
        <f t="shared" si="74"/>
        <v>15615392</v>
      </c>
      <c r="AI310" s="8">
        <v>1889860</v>
      </c>
      <c r="AJ310" s="8"/>
      <c r="AK310" s="5">
        <f t="shared" si="69"/>
        <v>17505252</v>
      </c>
      <c r="AM310" s="6">
        <v>45963</v>
      </c>
      <c r="AN310" s="8">
        <v>1662390</v>
      </c>
      <c r="AO310" s="8">
        <v>292900</v>
      </c>
      <c r="AP310" s="8">
        <v>208260</v>
      </c>
      <c r="AQ310" s="5">
        <f t="shared" si="72"/>
        <v>2163550</v>
      </c>
      <c r="AR310" s="8">
        <v>994420</v>
      </c>
      <c r="AS310" s="5">
        <v>194500</v>
      </c>
      <c r="AT310" s="8">
        <f t="shared" si="68"/>
        <v>1188920</v>
      </c>
      <c r="AU310" s="8">
        <v>125000</v>
      </c>
      <c r="AV310" s="5">
        <f t="shared" si="70"/>
        <v>3477470</v>
      </c>
      <c r="AX310" s="6">
        <v>46329</v>
      </c>
      <c r="BB310" s="5"/>
      <c r="BD310" s="5"/>
      <c r="BG310" s="5"/>
    </row>
    <row r="311" spans="1:59">
      <c r="A311" s="13">
        <v>44141</v>
      </c>
      <c r="B311" s="14">
        <v>10872536</v>
      </c>
      <c r="C311" s="14">
        <v>4681226</v>
      </c>
      <c r="D311" s="11">
        <f t="shared" si="66"/>
        <v>15553762</v>
      </c>
      <c r="F311" s="13">
        <v>44505</v>
      </c>
      <c r="G311" s="11">
        <v>9160602</v>
      </c>
      <c r="H311" s="11">
        <v>486310</v>
      </c>
      <c r="I311" s="11">
        <v>344280</v>
      </c>
      <c r="J311" s="11">
        <v>262250</v>
      </c>
      <c r="K311" s="7">
        <f t="shared" si="62"/>
        <v>10253442</v>
      </c>
      <c r="M311" s="6">
        <v>44869</v>
      </c>
      <c r="N311" s="5">
        <v>12037083</v>
      </c>
      <c r="O311" s="5">
        <v>3437245</v>
      </c>
      <c r="P311" s="5">
        <v>40480</v>
      </c>
      <c r="Q311" s="5">
        <f t="shared" si="63"/>
        <v>15514808</v>
      </c>
      <c r="R311" s="5">
        <v>68670</v>
      </c>
      <c r="S311" s="5">
        <f t="shared" si="73"/>
        <v>15583478</v>
      </c>
      <c r="U311" s="6">
        <v>45233</v>
      </c>
      <c r="V311" s="8">
        <v>6353685</v>
      </c>
      <c r="W311" s="8">
        <v>2443540</v>
      </c>
      <c r="X311" s="8">
        <v>175810</v>
      </c>
      <c r="Y311" s="26">
        <f t="shared" si="71"/>
        <v>8973035</v>
      </c>
      <c r="Z311" s="8">
        <v>866300</v>
      </c>
      <c r="AA311" s="8">
        <v>20400</v>
      </c>
      <c r="AB311" s="26">
        <f t="shared" si="65"/>
        <v>9859735</v>
      </c>
      <c r="AD311" s="6">
        <v>45598</v>
      </c>
      <c r="AE311" s="8">
        <v>1331221</v>
      </c>
      <c r="AF311" s="8">
        <v>414770</v>
      </c>
      <c r="AG311" s="8">
        <v>193040</v>
      </c>
      <c r="AH311" s="5">
        <f t="shared" si="74"/>
        <v>1939031</v>
      </c>
      <c r="AI311" s="8">
        <v>897650</v>
      </c>
      <c r="AJ311" s="8"/>
      <c r="AK311" s="5">
        <f t="shared" si="69"/>
        <v>2836681</v>
      </c>
      <c r="AM311" s="6">
        <v>45964</v>
      </c>
      <c r="AN311" s="8">
        <v>10798930</v>
      </c>
      <c r="AO311" s="8">
        <v>2049600</v>
      </c>
      <c r="AP311" s="8">
        <v>330030</v>
      </c>
      <c r="AQ311" s="5">
        <f t="shared" si="72"/>
        <v>13178560</v>
      </c>
      <c r="AR311" s="8">
        <v>1050700</v>
      </c>
      <c r="AS311" s="5">
        <v>266000</v>
      </c>
      <c r="AT311" s="8">
        <f t="shared" si="68"/>
        <v>1316700</v>
      </c>
      <c r="AU311" s="8">
        <v>130500</v>
      </c>
      <c r="AV311" s="5">
        <f t="shared" si="70"/>
        <v>14625760</v>
      </c>
      <c r="AX311" s="6">
        <v>46330</v>
      </c>
      <c r="BB311" s="5"/>
      <c r="BD311" s="5"/>
      <c r="BG311" s="5"/>
    </row>
    <row r="312" spans="1:59">
      <c r="A312" s="13">
        <v>44142</v>
      </c>
      <c r="B312" s="14">
        <v>8003</v>
      </c>
      <c r="C312" s="14">
        <v>0</v>
      </c>
      <c r="D312" s="11">
        <f t="shared" si="66"/>
        <v>8003</v>
      </c>
      <c r="F312" s="13">
        <v>44506</v>
      </c>
      <c r="G312" s="11">
        <v>1381290</v>
      </c>
      <c r="H312" s="11">
        <v>573920</v>
      </c>
      <c r="I312" s="11">
        <v>213170</v>
      </c>
      <c r="J312" s="11">
        <v>140700</v>
      </c>
      <c r="K312" s="7">
        <f t="shared" ref="K312:K367" si="75">SUM(G312:J312)</f>
        <v>2309080</v>
      </c>
      <c r="M312" s="6">
        <v>44870</v>
      </c>
      <c r="N312" s="5">
        <v>613595</v>
      </c>
      <c r="O312" s="5">
        <v>252250</v>
      </c>
      <c r="P312" s="5">
        <v>84820</v>
      </c>
      <c r="Q312" s="5">
        <f t="shared" si="63"/>
        <v>950665</v>
      </c>
      <c r="R312" s="5">
        <v>69620</v>
      </c>
      <c r="S312" s="5">
        <f t="shared" si="73"/>
        <v>1020285</v>
      </c>
      <c r="U312" s="6">
        <v>45234</v>
      </c>
      <c r="V312" s="8">
        <v>2257343</v>
      </c>
      <c r="W312" s="8">
        <v>661450</v>
      </c>
      <c r="X312" s="8">
        <v>100250</v>
      </c>
      <c r="Y312" s="26">
        <f t="shared" si="71"/>
        <v>3019043</v>
      </c>
      <c r="Z312" s="8">
        <v>580590</v>
      </c>
      <c r="AA312" s="8">
        <v>0</v>
      </c>
      <c r="AB312" s="26">
        <f t="shared" si="65"/>
        <v>3599633</v>
      </c>
      <c r="AD312" s="6">
        <v>45599</v>
      </c>
      <c r="AE312" s="8">
        <v>907879</v>
      </c>
      <c r="AF312" s="8">
        <v>521820</v>
      </c>
      <c r="AG312" s="8">
        <v>387460</v>
      </c>
      <c r="AH312" s="5">
        <f t="shared" si="74"/>
        <v>1817159</v>
      </c>
      <c r="AI312" s="8">
        <v>886660</v>
      </c>
      <c r="AJ312" s="8"/>
      <c r="AK312" s="5">
        <f t="shared" si="69"/>
        <v>2703819</v>
      </c>
      <c r="AM312" s="6">
        <v>45965</v>
      </c>
      <c r="AN312" s="8">
        <v>14403460</v>
      </c>
      <c r="AO312" s="8">
        <v>2499700</v>
      </c>
      <c r="AP312" s="8">
        <v>843010</v>
      </c>
      <c r="AQ312" s="5">
        <f t="shared" si="72"/>
        <v>17746170</v>
      </c>
      <c r="AR312" s="8">
        <v>1296280</v>
      </c>
      <c r="AS312" s="5">
        <v>-24900</v>
      </c>
      <c r="AT312" s="8">
        <f t="shared" si="68"/>
        <v>1271380</v>
      </c>
      <c r="AU312" s="8">
        <v>139500</v>
      </c>
      <c r="AV312" s="5">
        <f t="shared" si="70"/>
        <v>19157050</v>
      </c>
      <c r="AX312" s="6">
        <v>46331</v>
      </c>
      <c r="BB312" s="5"/>
      <c r="BD312" s="5"/>
      <c r="BG312" s="5"/>
    </row>
    <row r="313" spans="1:59">
      <c r="A313" s="13">
        <v>44143</v>
      </c>
      <c r="B313" s="14">
        <v>2819657</v>
      </c>
      <c r="C313" s="14">
        <v>2699580</v>
      </c>
      <c r="D313" s="11">
        <f t="shared" si="66"/>
        <v>5519237</v>
      </c>
      <c r="F313" s="13">
        <v>44507</v>
      </c>
      <c r="G313" s="11">
        <v>2850482</v>
      </c>
      <c r="H313" s="11">
        <v>409410</v>
      </c>
      <c r="I313" s="11">
        <v>352290</v>
      </c>
      <c r="J313" s="11">
        <v>107400</v>
      </c>
      <c r="K313" s="7">
        <f t="shared" si="75"/>
        <v>3719582</v>
      </c>
      <c r="M313" s="6">
        <v>44871</v>
      </c>
      <c r="N313" s="5">
        <v>792273</v>
      </c>
      <c r="O313" s="5">
        <v>397430</v>
      </c>
      <c r="P313" s="5">
        <v>0</v>
      </c>
      <c r="Q313" s="5">
        <f t="shared" si="63"/>
        <v>1189703</v>
      </c>
      <c r="R313" s="5">
        <v>29800</v>
      </c>
      <c r="S313" s="5">
        <f t="shared" si="73"/>
        <v>1219503</v>
      </c>
      <c r="U313" s="6">
        <v>45235</v>
      </c>
      <c r="V313" s="8">
        <v>2353633</v>
      </c>
      <c r="W313" s="8">
        <v>833790</v>
      </c>
      <c r="X313" s="8">
        <v>140670</v>
      </c>
      <c r="Y313" s="26">
        <f t="shared" si="71"/>
        <v>3328093</v>
      </c>
      <c r="Z313" s="8">
        <v>886160</v>
      </c>
      <c r="AA313" s="8">
        <v>15500</v>
      </c>
      <c r="AB313" s="26">
        <f t="shared" si="65"/>
        <v>4229753</v>
      </c>
      <c r="AD313" s="6">
        <v>45600</v>
      </c>
      <c r="AE313" s="8">
        <v>12412107</v>
      </c>
      <c r="AF313" s="8">
        <v>2334910</v>
      </c>
      <c r="AG313" s="8">
        <v>423980</v>
      </c>
      <c r="AH313" s="5">
        <f t="shared" si="74"/>
        <v>15170997</v>
      </c>
      <c r="AI313" s="8">
        <v>1332860</v>
      </c>
      <c r="AJ313" s="8"/>
      <c r="AK313" s="5">
        <f t="shared" si="69"/>
        <v>16503857</v>
      </c>
      <c r="AM313" s="6">
        <v>45966</v>
      </c>
      <c r="AN313" s="8">
        <v>14745950</v>
      </c>
      <c r="AO313" s="8">
        <v>2813270</v>
      </c>
      <c r="AP313" s="8">
        <v>362240</v>
      </c>
      <c r="AQ313" s="5">
        <f t="shared" si="72"/>
        <v>17921460</v>
      </c>
      <c r="AR313" s="8">
        <v>1128660</v>
      </c>
      <c r="AS313" s="5">
        <v>88500</v>
      </c>
      <c r="AT313" s="8">
        <f t="shared" si="68"/>
        <v>1217160</v>
      </c>
      <c r="AU313" s="8">
        <v>139020</v>
      </c>
      <c r="AV313" s="5">
        <f t="shared" si="70"/>
        <v>19277640</v>
      </c>
      <c r="AX313" s="6">
        <v>46332</v>
      </c>
      <c r="BB313" s="5"/>
      <c r="BD313" s="5"/>
      <c r="BG313" s="5"/>
    </row>
    <row r="314" spans="1:59">
      <c r="A314" s="13">
        <v>44144</v>
      </c>
      <c r="B314" s="14">
        <v>9279731</v>
      </c>
      <c r="C314" s="14">
        <v>5590370</v>
      </c>
      <c r="D314" s="11">
        <f t="shared" si="66"/>
        <v>14870101</v>
      </c>
      <c r="F314" s="13">
        <v>44508</v>
      </c>
      <c r="G314" s="11">
        <v>8810164</v>
      </c>
      <c r="H314" s="11">
        <v>1323388</v>
      </c>
      <c r="I314" s="11">
        <v>341490</v>
      </c>
      <c r="J314" s="11">
        <v>211050</v>
      </c>
      <c r="K314" s="7">
        <f t="shared" si="75"/>
        <v>10686092</v>
      </c>
      <c r="M314" s="6">
        <v>44872</v>
      </c>
      <c r="N314" s="5">
        <v>11656187</v>
      </c>
      <c r="O314" s="5">
        <v>4439610</v>
      </c>
      <c r="P314" s="5">
        <v>321470</v>
      </c>
      <c r="Q314" s="5">
        <f t="shared" si="63"/>
        <v>16417267</v>
      </c>
      <c r="R314" s="5">
        <v>130170</v>
      </c>
      <c r="S314" s="5">
        <f t="shared" si="73"/>
        <v>16547437</v>
      </c>
      <c r="U314" s="6">
        <v>45236</v>
      </c>
      <c r="V314" s="8">
        <v>5258378</v>
      </c>
      <c r="W314" s="8">
        <v>1819800</v>
      </c>
      <c r="X314" s="8">
        <v>264710</v>
      </c>
      <c r="Y314" s="26">
        <f t="shared" si="71"/>
        <v>7342888</v>
      </c>
      <c r="Z314" s="8">
        <v>1855240</v>
      </c>
      <c r="AA314" s="8">
        <v>0</v>
      </c>
      <c r="AB314" s="26">
        <f t="shared" si="65"/>
        <v>9198128</v>
      </c>
      <c r="AD314" s="6">
        <v>45601</v>
      </c>
      <c r="AE314" s="8">
        <v>13163477</v>
      </c>
      <c r="AF314" s="8">
        <v>2593944</v>
      </c>
      <c r="AG314" s="8">
        <v>387060</v>
      </c>
      <c r="AH314" s="5">
        <f t="shared" si="74"/>
        <v>16144481</v>
      </c>
      <c r="AI314" s="8">
        <v>1284590</v>
      </c>
      <c r="AJ314" s="8"/>
      <c r="AK314" s="5">
        <f t="shared" si="69"/>
        <v>17429071</v>
      </c>
      <c r="AM314" s="6">
        <v>45967</v>
      </c>
      <c r="AN314" s="8">
        <v>14235255</v>
      </c>
      <c r="AO314" s="8">
        <v>3636480</v>
      </c>
      <c r="AP314" s="8">
        <v>235580</v>
      </c>
      <c r="AQ314" s="5">
        <f t="shared" si="72"/>
        <v>18107315</v>
      </c>
      <c r="AR314" s="8">
        <v>1497100</v>
      </c>
      <c r="AS314" s="5">
        <v>94900</v>
      </c>
      <c r="AT314" s="8">
        <f t="shared" si="68"/>
        <v>1592000</v>
      </c>
      <c r="AU314" s="8">
        <v>209000</v>
      </c>
      <c r="AV314" s="5">
        <f t="shared" si="70"/>
        <v>19908315</v>
      </c>
      <c r="AX314" s="6">
        <v>46333</v>
      </c>
      <c r="BB314" s="5"/>
      <c r="BD314" s="5"/>
      <c r="BG314" s="5"/>
    </row>
    <row r="315" spans="1:59">
      <c r="A315" s="13">
        <v>44145</v>
      </c>
      <c r="B315" s="14">
        <v>13766224</v>
      </c>
      <c r="C315" s="14">
        <v>3072120</v>
      </c>
      <c r="D315" s="11">
        <f t="shared" si="66"/>
        <v>16838344</v>
      </c>
      <c r="F315" s="13">
        <v>44509</v>
      </c>
      <c r="G315" s="11">
        <v>10457947</v>
      </c>
      <c r="H315" s="11">
        <v>1444470</v>
      </c>
      <c r="I315" s="11">
        <v>445690</v>
      </c>
      <c r="J315" s="11">
        <v>259750</v>
      </c>
      <c r="K315" s="7">
        <f t="shared" si="75"/>
        <v>12607857</v>
      </c>
      <c r="M315" s="6">
        <v>44873</v>
      </c>
      <c r="N315" s="5">
        <v>11198125</v>
      </c>
      <c r="O315" s="5">
        <v>3202460</v>
      </c>
      <c r="P315" s="5">
        <v>275630</v>
      </c>
      <c r="Q315" s="5">
        <f t="shared" si="63"/>
        <v>14676215</v>
      </c>
      <c r="R315" s="5">
        <v>54720</v>
      </c>
      <c r="S315" s="5">
        <f t="shared" si="73"/>
        <v>14730935</v>
      </c>
      <c r="U315" s="6">
        <v>45237</v>
      </c>
      <c r="V315" s="8">
        <v>9927781</v>
      </c>
      <c r="W315" s="8">
        <v>1214040</v>
      </c>
      <c r="X315" s="8">
        <v>264150</v>
      </c>
      <c r="Y315" s="26">
        <f t="shared" si="71"/>
        <v>11405971</v>
      </c>
      <c r="Z315" s="8">
        <v>1023360</v>
      </c>
      <c r="AA315" s="8">
        <v>0</v>
      </c>
      <c r="AB315" s="8">
        <f t="shared" si="65"/>
        <v>12429331</v>
      </c>
      <c r="AD315" s="6">
        <v>45602</v>
      </c>
      <c r="AE315" s="8">
        <v>11089618</v>
      </c>
      <c r="AF315" s="8">
        <v>3278990</v>
      </c>
      <c r="AG315" s="8">
        <v>526910</v>
      </c>
      <c r="AH315" s="5">
        <f t="shared" si="74"/>
        <v>14895518</v>
      </c>
      <c r="AI315" s="8">
        <v>1330010</v>
      </c>
      <c r="AJ315" s="8"/>
      <c r="AK315" s="5">
        <f t="shared" si="69"/>
        <v>16225528</v>
      </c>
      <c r="AM315" s="6">
        <v>45968</v>
      </c>
      <c r="AN315" s="8">
        <v>11260190</v>
      </c>
      <c r="AO315" s="8">
        <v>2806900</v>
      </c>
      <c r="AP315" s="8">
        <v>363300</v>
      </c>
      <c r="AQ315" s="5">
        <f t="shared" si="72"/>
        <v>14430390</v>
      </c>
      <c r="AR315" s="8">
        <v>778600</v>
      </c>
      <c r="AS315" s="5">
        <v>164900</v>
      </c>
      <c r="AT315" s="8">
        <f t="shared" si="68"/>
        <v>943500</v>
      </c>
      <c r="AU315" s="8">
        <v>175000</v>
      </c>
      <c r="AV315" s="5">
        <f t="shared" si="70"/>
        <v>15548890</v>
      </c>
      <c r="AX315" s="6">
        <v>46334</v>
      </c>
      <c r="BB315" s="5"/>
      <c r="BD315" s="5"/>
      <c r="BG315" s="5"/>
    </row>
    <row r="316" spans="1:59">
      <c r="A316" s="13">
        <v>44146</v>
      </c>
      <c r="B316" s="14">
        <v>7724794</v>
      </c>
      <c r="C316" s="14">
        <v>1907050</v>
      </c>
      <c r="D316" s="11">
        <f t="shared" si="66"/>
        <v>9631844</v>
      </c>
      <c r="F316" s="13">
        <v>44510</v>
      </c>
      <c r="G316" s="11">
        <v>9768176</v>
      </c>
      <c r="H316" s="11">
        <v>1494220</v>
      </c>
      <c r="I316" s="11">
        <v>35280</v>
      </c>
      <c r="J316" s="11">
        <v>87000</v>
      </c>
      <c r="K316" s="7">
        <f t="shared" si="75"/>
        <v>11384676</v>
      </c>
      <c r="M316" s="6">
        <v>44874</v>
      </c>
      <c r="N316" s="5">
        <v>13385057</v>
      </c>
      <c r="O316" s="5">
        <v>4656120</v>
      </c>
      <c r="P316" s="5">
        <v>217440</v>
      </c>
      <c r="Q316" s="5">
        <f t="shared" ref="Q316:Q379" si="76">SUM(N316:P316)</f>
        <v>18258617</v>
      </c>
      <c r="R316" s="5">
        <v>197910</v>
      </c>
      <c r="S316" s="5">
        <f t="shared" si="73"/>
        <v>18456527</v>
      </c>
      <c r="U316" s="6">
        <v>45238</v>
      </c>
      <c r="V316" s="8">
        <v>12205900</v>
      </c>
      <c r="W316" s="8">
        <v>1145040</v>
      </c>
      <c r="X316" s="8">
        <v>132800</v>
      </c>
      <c r="Y316" s="26">
        <f t="shared" si="71"/>
        <v>13483740</v>
      </c>
      <c r="Z316" s="8">
        <v>1134090</v>
      </c>
      <c r="AA316" s="8">
        <v>28000</v>
      </c>
      <c r="AB316" s="8">
        <f t="shared" si="65"/>
        <v>14645830</v>
      </c>
      <c r="AD316" s="6">
        <v>45603</v>
      </c>
      <c r="AE316" s="8">
        <v>11197827</v>
      </c>
      <c r="AF316" s="8">
        <v>2843030</v>
      </c>
      <c r="AG316" s="8">
        <v>279180</v>
      </c>
      <c r="AH316" s="5">
        <f t="shared" si="74"/>
        <v>14320037</v>
      </c>
      <c r="AI316" s="8">
        <v>1711940</v>
      </c>
      <c r="AJ316" s="8"/>
      <c r="AK316" s="5">
        <f t="shared" si="69"/>
        <v>16031977</v>
      </c>
      <c r="AM316" s="6">
        <v>45969</v>
      </c>
      <c r="AN316" s="8">
        <v>4250700</v>
      </c>
      <c r="AO316" s="8">
        <v>955930</v>
      </c>
      <c r="AP316" s="8">
        <v>317080</v>
      </c>
      <c r="AQ316" s="5">
        <f t="shared" si="72"/>
        <v>5523710</v>
      </c>
      <c r="AR316" s="8">
        <v>535360</v>
      </c>
      <c r="AS316" s="5">
        <v>179400</v>
      </c>
      <c r="AT316" s="8">
        <f t="shared" si="68"/>
        <v>714760</v>
      </c>
      <c r="AU316" s="8">
        <v>100000</v>
      </c>
      <c r="AV316" s="5">
        <f t="shared" si="70"/>
        <v>6338470</v>
      </c>
      <c r="AX316" s="6">
        <v>46335</v>
      </c>
      <c r="BB316" s="5"/>
      <c r="BD316" s="5"/>
      <c r="BG316" s="5"/>
    </row>
    <row r="317" spans="1:59">
      <c r="A317" s="13">
        <v>44147</v>
      </c>
      <c r="B317" s="14">
        <v>7160326</v>
      </c>
      <c r="C317" s="14">
        <v>1381820</v>
      </c>
      <c r="D317" s="11">
        <f t="shared" si="66"/>
        <v>8542146</v>
      </c>
      <c r="F317" s="13">
        <v>44511</v>
      </c>
      <c r="G317" s="11">
        <v>10493347</v>
      </c>
      <c r="H317" s="11">
        <v>1275470</v>
      </c>
      <c r="I317" s="11">
        <v>241660</v>
      </c>
      <c r="J317" s="11">
        <v>122800</v>
      </c>
      <c r="K317" s="7">
        <f t="shared" si="75"/>
        <v>12133277</v>
      </c>
      <c r="M317" s="6">
        <v>44875</v>
      </c>
      <c r="N317" s="5">
        <v>10979348</v>
      </c>
      <c r="O317" s="5">
        <v>3248010</v>
      </c>
      <c r="P317" s="5">
        <v>222450</v>
      </c>
      <c r="Q317" s="5">
        <f t="shared" si="76"/>
        <v>14449808</v>
      </c>
      <c r="R317" s="5">
        <v>251600</v>
      </c>
      <c r="S317" s="5">
        <f t="shared" si="73"/>
        <v>14701408</v>
      </c>
      <c r="U317" s="6">
        <v>45239</v>
      </c>
      <c r="V317" s="8">
        <v>13716235</v>
      </c>
      <c r="W317" s="8">
        <v>1200520</v>
      </c>
      <c r="X317" s="8">
        <v>217490</v>
      </c>
      <c r="Y317" s="26">
        <f t="shared" si="71"/>
        <v>15134245</v>
      </c>
      <c r="Z317" s="8">
        <v>903740</v>
      </c>
      <c r="AA317" s="8">
        <v>11500</v>
      </c>
      <c r="AB317" s="8">
        <f t="shared" si="65"/>
        <v>16049485</v>
      </c>
      <c r="AD317" s="6">
        <v>45604</v>
      </c>
      <c r="AE317" s="8">
        <v>12927316</v>
      </c>
      <c r="AF317" s="8">
        <v>1523000</v>
      </c>
      <c r="AG317" s="8">
        <v>54990</v>
      </c>
      <c r="AH317" s="5">
        <f t="shared" si="74"/>
        <v>14505306</v>
      </c>
      <c r="AI317" s="8">
        <v>528320</v>
      </c>
      <c r="AJ317" s="8"/>
      <c r="AK317" s="5">
        <f t="shared" si="69"/>
        <v>15033626</v>
      </c>
      <c r="AM317" s="6">
        <v>45970</v>
      </c>
      <c r="AN317" s="8">
        <v>5219460</v>
      </c>
      <c r="AO317" s="8">
        <v>1335600</v>
      </c>
      <c r="AP317" s="8">
        <v>218850</v>
      </c>
      <c r="AQ317" s="5">
        <f t="shared" si="72"/>
        <v>6773910</v>
      </c>
      <c r="AR317" s="8">
        <v>886450</v>
      </c>
      <c r="AS317" s="5">
        <v>197800</v>
      </c>
      <c r="AT317" s="8">
        <f t="shared" si="68"/>
        <v>1084250</v>
      </c>
      <c r="AU317" s="8">
        <v>258590</v>
      </c>
      <c r="AV317" s="5">
        <f t="shared" si="70"/>
        <v>8116750</v>
      </c>
      <c r="AX317" s="6">
        <v>46336</v>
      </c>
      <c r="BB317" s="5"/>
      <c r="BD317" s="5"/>
      <c r="BG317" s="5"/>
    </row>
    <row r="318" spans="1:59">
      <c r="A318" s="13">
        <v>44148</v>
      </c>
      <c r="B318" s="14">
        <v>4515778</v>
      </c>
      <c r="C318" s="14">
        <v>950810</v>
      </c>
      <c r="D318" s="11">
        <f t="shared" si="66"/>
        <v>5466588</v>
      </c>
      <c r="F318" s="13">
        <v>44512</v>
      </c>
      <c r="G318" s="11">
        <v>7795819</v>
      </c>
      <c r="H318" s="11">
        <v>1185660</v>
      </c>
      <c r="I318" s="11">
        <v>145590</v>
      </c>
      <c r="J318" s="11">
        <v>223950</v>
      </c>
      <c r="K318" s="7">
        <f t="shared" si="75"/>
        <v>9351019</v>
      </c>
      <c r="M318" s="6">
        <v>44876</v>
      </c>
      <c r="N318" s="5">
        <v>16651625</v>
      </c>
      <c r="O318" s="5">
        <v>3825730</v>
      </c>
      <c r="P318" s="5">
        <v>41410</v>
      </c>
      <c r="Q318" s="5">
        <f t="shared" si="76"/>
        <v>20518765</v>
      </c>
      <c r="R318" s="5">
        <v>26800</v>
      </c>
      <c r="S318" s="5">
        <f t="shared" si="73"/>
        <v>20545565</v>
      </c>
      <c r="U318" s="6">
        <v>45240</v>
      </c>
      <c r="V318" s="8">
        <v>2265188</v>
      </c>
      <c r="W318" s="8">
        <v>889400</v>
      </c>
      <c r="X318" s="8">
        <v>96230</v>
      </c>
      <c r="Y318" s="26">
        <f t="shared" si="71"/>
        <v>3250818</v>
      </c>
      <c r="Z318" s="8">
        <v>538630</v>
      </c>
      <c r="AA318" s="8">
        <v>20400</v>
      </c>
      <c r="AB318" s="8">
        <f t="shared" si="65"/>
        <v>3809848</v>
      </c>
      <c r="AD318" s="6">
        <v>45605</v>
      </c>
      <c r="AE318" s="8">
        <v>1644936</v>
      </c>
      <c r="AF318" s="8">
        <v>442700</v>
      </c>
      <c r="AG318" s="8">
        <v>59640</v>
      </c>
      <c r="AH318" s="5">
        <f t="shared" si="74"/>
        <v>2147276</v>
      </c>
      <c r="AI318" s="8">
        <v>297200</v>
      </c>
      <c r="AJ318" s="8"/>
      <c r="AK318" s="5">
        <f t="shared" si="69"/>
        <v>2444476</v>
      </c>
      <c r="AM318" s="6">
        <v>45971</v>
      </c>
      <c r="AN318" s="8">
        <v>8084960</v>
      </c>
      <c r="AO318" s="8">
        <v>2020900</v>
      </c>
      <c r="AP318" s="8">
        <v>323000</v>
      </c>
      <c r="AQ318" s="5">
        <f t="shared" si="72"/>
        <v>10428860</v>
      </c>
      <c r="AR318" s="8">
        <v>857040</v>
      </c>
      <c r="AS318" s="5">
        <v>160100</v>
      </c>
      <c r="AT318" s="8">
        <f t="shared" si="68"/>
        <v>1017140</v>
      </c>
      <c r="AU318" s="8">
        <v>155500</v>
      </c>
      <c r="AV318" s="5">
        <f t="shared" si="70"/>
        <v>11601500</v>
      </c>
      <c r="AX318" s="6">
        <v>46337</v>
      </c>
      <c r="BB318" s="5"/>
      <c r="BD318" s="5"/>
      <c r="BG318" s="5"/>
    </row>
    <row r="319" spans="1:59">
      <c r="A319" s="13">
        <v>44149</v>
      </c>
      <c r="B319" s="14">
        <v>3978436</v>
      </c>
      <c r="C319" s="14">
        <v>1110561</v>
      </c>
      <c r="D319" s="11">
        <f t="shared" si="66"/>
        <v>5088997</v>
      </c>
      <c r="F319" s="13">
        <v>44513</v>
      </c>
      <c r="G319" s="11">
        <v>2170006</v>
      </c>
      <c r="H319" s="11">
        <v>420320</v>
      </c>
      <c r="I319" s="11">
        <v>241120</v>
      </c>
      <c r="J319" s="11">
        <v>194900</v>
      </c>
      <c r="K319" s="7">
        <f t="shared" si="75"/>
        <v>3026346</v>
      </c>
      <c r="M319" s="6">
        <v>44877</v>
      </c>
      <c r="N319" s="5">
        <v>430245</v>
      </c>
      <c r="O319" s="5">
        <v>303990</v>
      </c>
      <c r="P319" s="5">
        <v>40710</v>
      </c>
      <c r="Q319" s="5">
        <f t="shared" si="76"/>
        <v>774945</v>
      </c>
      <c r="R319" s="5">
        <v>29800</v>
      </c>
      <c r="S319" s="5">
        <f t="shared" si="73"/>
        <v>804745</v>
      </c>
      <c r="U319" s="6">
        <v>45241</v>
      </c>
      <c r="V319" s="8">
        <v>1460778</v>
      </c>
      <c r="W319" s="8">
        <v>552360</v>
      </c>
      <c r="X319" s="8">
        <v>53750</v>
      </c>
      <c r="Y319" s="26">
        <f t="shared" si="71"/>
        <v>2066888</v>
      </c>
      <c r="Z319" s="8">
        <v>477890</v>
      </c>
      <c r="AA319" s="8">
        <v>0</v>
      </c>
      <c r="AB319" s="8">
        <f t="shared" si="65"/>
        <v>2544778</v>
      </c>
      <c r="AD319" s="6">
        <v>45606</v>
      </c>
      <c r="AE319" s="8">
        <v>7311779</v>
      </c>
      <c r="AF319" s="8">
        <v>2081910</v>
      </c>
      <c r="AG319" s="8">
        <v>72610</v>
      </c>
      <c r="AH319" s="5">
        <f t="shared" si="74"/>
        <v>9466299</v>
      </c>
      <c r="AI319" s="8">
        <v>379070</v>
      </c>
      <c r="AJ319" s="8"/>
      <c r="AK319" s="5">
        <f t="shared" si="69"/>
        <v>9845369</v>
      </c>
      <c r="AM319" s="6">
        <v>45972</v>
      </c>
      <c r="AN319" s="8">
        <v>10351150</v>
      </c>
      <c r="AO319" s="8">
        <v>2150020</v>
      </c>
      <c r="AP319" s="8">
        <v>275090</v>
      </c>
      <c r="AQ319" s="5">
        <f t="shared" si="72"/>
        <v>12776260</v>
      </c>
      <c r="AR319" s="8">
        <v>1149260</v>
      </c>
      <c r="AS319" s="5">
        <v>236080</v>
      </c>
      <c r="AT319" s="8">
        <f t="shared" si="68"/>
        <v>1385340</v>
      </c>
      <c r="AU319" s="8">
        <v>112500</v>
      </c>
      <c r="AV319" s="5">
        <f t="shared" si="70"/>
        <v>14274100</v>
      </c>
      <c r="AX319" s="6">
        <v>46338</v>
      </c>
      <c r="BB319" s="5"/>
      <c r="BD319" s="5"/>
      <c r="BG319" s="5"/>
    </row>
    <row r="320" spans="1:59">
      <c r="A320" s="13">
        <v>44150</v>
      </c>
      <c r="B320" s="14">
        <v>3028914</v>
      </c>
      <c r="C320" s="14">
        <v>830520</v>
      </c>
      <c r="D320" s="11">
        <f t="shared" si="66"/>
        <v>3859434</v>
      </c>
      <c r="F320" s="13">
        <v>44514</v>
      </c>
      <c r="G320" s="11">
        <v>2325692</v>
      </c>
      <c r="H320" s="11">
        <v>674290</v>
      </c>
      <c r="I320" s="11">
        <v>377280</v>
      </c>
      <c r="J320" s="11">
        <v>69100</v>
      </c>
      <c r="K320" s="7">
        <f t="shared" si="75"/>
        <v>3446362</v>
      </c>
      <c r="M320" s="6">
        <v>44878</v>
      </c>
      <c r="N320" s="5">
        <v>671620</v>
      </c>
      <c r="O320" s="5">
        <v>635450</v>
      </c>
      <c r="P320" s="5">
        <v>116240</v>
      </c>
      <c r="Q320" s="5">
        <f t="shared" si="76"/>
        <v>1423310</v>
      </c>
      <c r="R320" s="5">
        <v>88700</v>
      </c>
      <c r="S320" s="5">
        <f t="shared" si="73"/>
        <v>1512010</v>
      </c>
      <c r="U320" s="6">
        <v>45242</v>
      </c>
      <c r="V320" s="8">
        <v>2235321</v>
      </c>
      <c r="W320" s="8">
        <v>954600</v>
      </c>
      <c r="X320" s="8">
        <v>147410</v>
      </c>
      <c r="Y320" s="26">
        <f t="shared" si="71"/>
        <v>3337331</v>
      </c>
      <c r="Z320" s="8">
        <v>382740</v>
      </c>
      <c r="AA320" s="8">
        <v>11500</v>
      </c>
      <c r="AB320" s="8">
        <f t="shared" si="65"/>
        <v>3731571</v>
      </c>
      <c r="AD320" s="6">
        <v>45607</v>
      </c>
      <c r="AE320" s="8">
        <v>4280269</v>
      </c>
      <c r="AF320" s="8">
        <v>1650390</v>
      </c>
      <c r="AG320" s="8">
        <v>164260</v>
      </c>
      <c r="AH320" s="5">
        <f t="shared" si="74"/>
        <v>6094919</v>
      </c>
      <c r="AI320" s="8">
        <v>764990</v>
      </c>
      <c r="AJ320" s="8"/>
      <c r="AK320" s="5">
        <f t="shared" si="69"/>
        <v>6859909</v>
      </c>
      <c r="AM320" s="6">
        <v>45973</v>
      </c>
      <c r="AN320" s="8">
        <v>10978500</v>
      </c>
      <c r="AO320" s="8">
        <v>2610040</v>
      </c>
      <c r="AP320" s="8">
        <v>331460</v>
      </c>
      <c r="AQ320" s="5">
        <f t="shared" si="72"/>
        <v>13920000</v>
      </c>
      <c r="AR320" s="8">
        <v>645290</v>
      </c>
      <c r="AS320" s="5">
        <v>369080</v>
      </c>
      <c r="AT320" s="8">
        <f t="shared" si="68"/>
        <v>1014370</v>
      </c>
      <c r="AU320" s="8">
        <v>292480</v>
      </c>
      <c r="AV320" s="5">
        <f t="shared" si="70"/>
        <v>15226850</v>
      </c>
      <c r="AX320" s="6">
        <v>46339</v>
      </c>
      <c r="BB320" s="5"/>
      <c r="BD320" s="5"/>
      <c r="BG320" s="5"/>
    </row>
    <row r="321" spans="1:59">
      <c r="A321" s="13">
        <v>44151</v>
      </c>
      <c r="B321" s="14">
        <v>5210942</v>
      </c>
      <c r="C321" s="14">
        <v>2026260</v>
      </c>
      <c r="D321" s="11">
        <f t="shared" si="66"/>
        <v>7237202</v>
      </c>
      <c r="F321" s="13">
        <v>44515</v>
      </c>
      <c r="G321" s="11">
        <v>5472214</v>
      </c>
      <c r="H321" s="11">
        <v>975084</v>
      </c>
      <c r="I321" s="11">
        <v>790440</v>
      </c>
      <c r="J321" s="11">
        <v>107400</v>
      </c>
      <c r="K321" s="7">
        <f t="shared" si="75"/>
        <v>7345138</v>
      </c>
      <c r="M321" s="6">
        <v>44879</v>
      </c>
      <c r="N321" s="5">
        <v>10717226</v>
      </c>
      <c r="O321" s="5">
        <v>3665500</v>
      </c>
      <c r="P321" s="5">
        <v>232310</v>
      </c>
      <c r="Q321" s="5">
        <f t="shared" si="76"/>
        <v>14615036</v>
      </c>
      <c r="R321" s="5">
        <v>146600</v>
      </c>
      <c r="S321" s="5">
        <f t="shared" si="73"/>
        <v>14761636</v>
      </c>
      <c r="U321" s="6">
        <v>45243</v>
      </c>
      <c r="V321" s="8">
        <v>2801081</v>
      </c>
      <c r="W321" s="8">
        <v>1067140</v>
      </c>
      <c r="X321" s="8">
        <v>326790</v>
      </c>
      <c r="Y321" s="26">
        <f t="shared" si="71"/>
        <v>4195011</v>
      </c>
      <c r="Z321" s="8">
        <v>845066</v>
      </c>
      <c r="AA321" s="8">
        <v>0</v>
      </c>
      <c r="AB321" s="8">
        <f t="shared" si="65"/>
        <v>5040077</v>
      </c>
      <c r="AD321" s="6">
        <v>45608</v>
      </c>
      <c r="AE321" s="8">
        <v>9531539</v>
      </c>
      <c r="AF321" s="8">
        <v>2919050</v>
      </c>
      <c r="AG321" s="8">
        <v>286080</v>
      </c>
      <c r="AH321" s="5">
        <f t="shared" si="74"/>
        <v>12736669</v>
      </c>
      <c r="AI321" s="8">
        <v>489060</v>
      </c>
      <c r="AJ321" s="8"/>
      <c r="AK321" s="5">
        <f t="shared" si="69"/>
        <v>13225729</v>
      </c>
      <c r="AM321" s="6">
        <v>45974</v>
      </c>
      <c r="AN321" s="8">
        <v>11816238</v>
      </c>
      <c r="AO321" s="8">
        <v>2363790</v>
      </c>
      <c r="AP321" s="8">
        <v>263200</v>
      </c>
      <c r="AQ321" s="5">
        <f t="shared" si="72"/>
        <v>14443228</v>
      </c>
      <c r="AR321" s="8">
        <v>787290</v>
      </c>
      <c r="AS321" s="5">
        <v>268400</v>
      </c>
      <c r="AT321" s="8">
        <f t="shared" si="68"/>
        <v>1055690</v>
      </c>
      <c r="AU321" s="8">
        <v>190750</v>
      </c>
      <c r="AV321" s="5">
        <f t="shared" si="70"/>
        <v>15689668</v>
      </c>
      <c r="AX321" s="6">
        <v>46340</v>
      </c>
      <c r="BB321" s="5"/>
      <c r="BD321" s="5"/>
      <c r="BG321" s="5"/>
    </row>
    <row r="322" spans="1:59">
      <c r="A322" s="13">
        <v>44152</v>
      </c>
      <c r="B322" s="14">
        <v>10616932</v>
      </c>
      <c r="C322" s="14">
        <v>2094050</v>
      </c>
      <c r="D322" s="11">
        <f t="shared" si="66"/>
        <v>12710982</v>
      </c>
      <c r="F322" s="13">
        <v>44516</v>
      </c>
      <c r="G322" s="11">
        <v>7388161</v>
      </c>
      <c r="H322" s="11">
        <v>1281288</v>
      </c>
      <c r="I322" s="11">
        <v>401580</v>
      </c>
      <c r="J322" s="11">
        <v>84500</v>
      </c>
      <c r="K322" s="7">
        <f t="shared" si="75"/>
        <v>9155529</v>
      </c>
      <c r="M322" s="6">
        <v>44880</v>
      </c>
      <c r="N322" s="5">
        <v>6868951</v>
      </c>
      <c r="O322" s="5">
        <v>2675560</v>
      </c>
      <c r="P322" s="5">
        <v>317010</v>
      </c>
      <c r="Q322" s="5">
        <f t="shared" si="76"/>
        <v>9861521</v>
      </c>
      <c r="R322" s="5">
        <v>568100</v>
      </c>
      <c r="S322" s="5">
        <f t="shared" si="73"/>
        <v>10429621</v>
      </c>
      <c r="U322" s="6">
        <v>45244</v>
      </c>
      <c r="V322" s="8">
        <v>14189355</v>
      </c>
      <c r="W322" s="8">
        <v>3721004</v>
      </c>
      <c r="X322" s="8">
        <v>111460</v>
      </c>
      <c r="Y322" s="26">
        <f t="shared" si="71"/>
        <v>18021819</v>
      </c>
      <c r="Z322" s="8">
        <v>682540</v>
      </c>
      <c r="AA322" s="8">
        <v>11500</v>
      </c>
      <c r="AB322" s="8">
        <f t="shared" si="65"/>
        <v>18715859</v>
      </c>
      <c r="AD322" s="6">
        <v>45609</v>
      </c>
      <c r="AE322" s="8">
        <v>9050612</v>
      </c>
      <c r="AF322" s="8">
        <v>3053880</v>
      </c>
      <c r="AG322" s="8">
        <v>232810</v>
      </c>
      <c r="AH322" s="5">
        <f t="shared" si="74"/>
        <v>12337302</v>
      </c>
      <c r="AI322" s="8">
        <v>566020</v>
      </c>
      <c r="AJ322" s="8"/>
      <c r="AK322" s="5">
        <f t="shared" si="69"/>
        <v>12903322</v>
      </c>
      <c r="AM322" s="6">
        <v>45975</v>
      </c>
      <c r="AN322" s="8">
        <v>12728840</v>
      </c>
      <c r="AO322" s="8">
        <v>1379790</v>
      </c>
      <c r="AP322" s="8">
        <v>150300</v>
      </c>
      <c r="AQ322" s="5">
        <f t="shared" si="72"/>
        <v>14258930</v>
      </c>
      <c r="AR322" s="8">
        <v>10682682</v>
      </c>
      <c r="AS322" s="5">
        <v>233300</v>
      </c>
      <c r="AT322" s="8">
        <f t="shared" si="68"/>
        <v>10915982</v>
      </c>
      <c r="AU322" s="8">
        <v>112500</v>
      </c>
      <c r="AV322" s="5">
        <f t="shared" si="70"/>
        <v>25287412</v>
      </c>
      <c r="AX322" s="6">
        <v>46341</v>
      </c>
      <c r="BB322" s="5"/>
      <c r="BD322" s="5"/>
      <c r="BG322" s="5"/>
    </row>
    <row r="323" spans="1:59">
      <c r="A323" s="13">
        <v>44153</v>
      </c>
      <c r="B323" s="14">
        <v>14343244</v>
      </c>
      <c r="C323" s="14">
        <v>1659520</v>
      </c>
      <c r="D323" s="11">
        <f t="shared" si="66"/>
        <v>16002764</v>
      </c>
      <c r="F323" s="13">
        <v>44517</v>
      </c>
      <c r="G323" s="11">
        <v>9173060</v>
      </c>
      <c r="H323" s="11">
        <v>835499</v>
      </c>
      <c r="I323" s="11">
        <v>307450</v>
      </c>
      <c r="J323" s="11">
        <v>196900</v>
      </c>
      <c r="K323" s="7">
        <f t="shared" si="75"/>
        <v>10512909</v>
      </c>
      <c r="M323" s="6">
        <v>44881</v>
      </c>
      <c r="N323" s="5">
        <v>7582633</v>
      </c>
      <c r="O323" s="5">
        <v>2787990</v>
      </c>
      <c r="P323" s="5">
        <v>249340</v>
      </c>
      <c r="Q323" s="5">
        <f t="shared" si="76"/>
        <v>10619963</v>
      </c>
      <c r="R323" s="5">
        <v>584600</v>
      </c>
      <c r="S323" s="5">
        <f t="shared" si="73"/>
        <v>11204563</v>
      </c>
      <c r="U323" s="6">
        <v>45245</v>
      </c>
      <c r="V323" s="8">
        <v>14288462</v>
      </c>
      <c r="W323" s="8">
        <v>3735590</v>
      </c>
      <c r="X323" s="8">
        <v>192700</v>
      </c>
      <c r="Y323" s="26">
        <f t="shared" si="71"/>
        <v>18216752</v>
      </c>
      <c r="Z323" s="8">
        <v>1040380</v>
      </c>
      <c r="AA323" s="8">
        <v>0</v>
      </c>
      <c r="AB323" s="8">
        <f t="shared" si="65"/>
        <v>19257132</v>
      </c>
      <c r="AD323" s="6">
        <v>45610</v>
      </c>
      <c r="AE323" s="8">
        <v>10034529</v>
      </c>
      <c r="AF323" s="8">
        <v>2582540</v>
      </c>
      <c r="AG323" s="8">
        <v>320010</v>
      </c>
      <c r="AH323" s="5">
        <f t="shared" si="74"/>
        <v>12937079</v>
      </c>
      <c r="AI323" s="8">
        <v>693930</v>
      </c>
      <c r="AJ323" s="8"/>
      <c r="AK323" s="5">
        <f t="shared" si="69"/>
        <v>13631009</v>
      </c>
      <c r="AM323" s="6">
        <v>45976</v>
      </c>
      <c r="AN323" s="8">
        <v>2058602</v>
      </c>
      <c r="AO323" s="8">
        <v>448960</v>
      </c>
      <c r="AP323" s="8">
        <v>109270</v>
      </c>
      <c r="AQ323" s="5">
        <f t="shared" si="72"/>
        <v>2616832</v>
      </c>
      <c r="AR323" s="8">
        <v>2852970</v>
      </c>
      <c r="AS323" s="5">
        <v>436700</v>
      </c>
      <c r="AT323" s="8">
        <f t="shared" si="68"/>
        <v>3289670</v>
      </c>
      <c r="AU323" s="8">
        <v>103500</v>
      </c>
      <c r="AV323" s="5">
        <f t="shared" si="70"/>
        <v>6010002</v>
      </c>
      <c r="AX323" s="6">
        <v>46342</v>
      </c>
      <c r="BB323" s="5"/>
      <c r="BD323" s="5"/>
      <c r="BG323" s="5"/>
    </row>
    <row r="324" spans="1:59">
      <c r="A324" s="13">
        <v>44154</v>
      </c>
      <c r="B324" s="14">
        <v>13013560</v>
      </c>
      <c r="C324" s="14">
        <v>2227930</v>
      </c>
      <c r="D324" s="11">
        <f t="shared" ref="D324:D366" si="77">SUM(B324:C324)</f>
        <v>15241490</v>
      </c>
      <c r="F324" s="13">
        <v>44518</v>
      </c>
      <c r="G324" s="11">
        <v>9884799</v>
      </c>
      <c r="H324" s="11">
        <v>1863434</v>
      </c>
      <c r="I324" s="11">
        <v>268110</v>
      </c>
      <c r="J324" s="11">
        <v>120300</v>
      </c>
      <c r="K324" s="7">
        <f t="shared" si="75"/>
        <v>12136643</v>
      </c>
      <c r="M324" s="6">
        <v>44882</v>
      </c>
      <c r="N324" s="5">
        <v>6757405</v>
      </c>
      <c r="O324" s="5">
        <v>2156110</v>
      </c>
      <c r="P324" s="5">
        <v>90400</v>
      </c>
      <c r="Q324" s="5">
        <f t="shared" si="76"/>
        <v>9003915</v>
      </c>
      <c r="R324" s="5">
        <v>58600</v>
      </c>
      <c r="S324" s="5">
        <f t="shared" si="73"/>
        <v>9062515</v>
      </c>
      <c r="U324" s="6">
        <v>45246</v>
      </c>
      <c r="V324" s="8">
        <v>10558223</v>
      </c>
      <c r="W324" s="8">
        <v>4340476</v>
      </c>
      <c r="X324" s="8">
        <v>77490</v>
      </c>
      <c r="Y324" s="26">
        <f t="shared" si="71"/>
        <v>14976189</v>
      </c>
      <c r="Z324" s="8">
        <v>814180</v>
      </c>
      <c r="AA324" s="8">
        <v>20400</v>
      </c>
      <c r="AB324" s="8">
        <f t="shared" si="65"/>
        <v>15810769</v>
      </c>
      <c r="AD324" s="6">
        <v>45611</v>
      </c>
      <c r="AE324" s="8">
        <v>9092084</v>
      </c>
      <c r="AF324" s="8">
        <v>1985990</v>
      </c>
      <c r="AG324" s="8">
        <v>308090</v>
      </c>
      <c r="AH324" s="5">
        <f t="shared" si="74"/>
        <v>11386164</v>
      </c>
      <c r="AI324" s="8">
        <v>253240</v>
      </c>
      <c r="AJ324" s="8"/>
      <c r="AK324" s="5">
        <f t="shared" si="69"/>
        <v>11639404</v>
      </c>
      <c r="AM324" s="6">
        <v>45977</v>
      </c>
      <c r="AN324" s="8">
        <v>1638490</v>
      </c>
      <c r="AO324" s="8">
        <v>569970</v>
      </c>
      <c r="AP324" s="8">
        <v>394070</v>
      </c>
      <c r="AQ324" s="5">
        <f t="shared" si="72"/>
        <v>2602530</v>
      </c>
      <c r="AR324" s="8">
        <v>2085700</v>
      </c>
      <c r="AS324" s="5">
        <v>746100</v>
      </c>
      <c r="AT324" s="8">
        <f t="shared" si="68"/>
        <v>2831800</v>
      </c>
      <c r="AU324" s="8">
        <v>139500</v>
      </c>
      <c r="AV324" s="5">
        <f t="shared" si="70"/>
        <v>5573830</v>
      </c>
      <c r="AX324" s="6">
        <v>46343</v>
      </c>
      <c r="BB324" s="5"/>
      <c r="BD324" s="5"/>
      <c r="BG324" s="5"/>
    </row>
    <row r="325" spans="1:59">
      <c r="A325" s="13">
        <v>44155</v>
      </c>
      <c r="B325" s="14">
        <v>8461795</v>
      </c>
      <c r="C325" s="14">
        <v>1580630</v>
      </c>
      <c r="D325" s="11">
        <f t="shared" si="77"/>
        <v>10042425</v>
      </c>
      <c r="F325" s="13">
        <v>44519</v>
      </c>
      <c r="G325" s="11">
        <v>4906949</v>
      </c>
      <c r="H325" s="11">
        <v>981524</v>
      </c>
      <c r="I325" s="11">
        <v>398510</v>
      </c>
      <c r="J325" s="11">
        <v>291800</v>
      </c>
      <c r="K325" s="7">
        <f t="shared" si="75"/>
        <v>6578783</v>
      </c>
      <c r="M325" s="6">
        <v>44883</v>
      </c>
      <c r="N325" s="5">
        <v>7161297</v>
      </c>
      <c r="O325" s="5">
        <v>2717010</v>
      </c>
      <c r="P325" s="5">
        <v>167980</v>
      </c>
      <c r="Q325" s="5">
        <f t="shared" si="76"/>
        <v>10046287</v>
      </c>
      <c r="R325" s="5">
        <v>29800</v>
      </c>
      <c r="S325" s="5">
        <f t="shared" si="73"/>
        <v>10076087</v>
      </c>
      <c r="U325" s="6">
        <v>45247</v>
      </c>
      <c r="V325" s="8">
        <v>8387266</v>
      </c>
      <c r="W325" s="8">
        <v>3557156</v>
      </c>
      <c r="X325" s="8">
        <v>187840</v>
      </c>
      <c r="Y325" s="26">
        <f t="shared" si="71"/>
        <v>12132262</v>
      </c>
      <c r="Z325" s="8">
        <v>500190</v>
      </c>
      <c r="AA325" s="8">
        <v>28000</v>
      </c>
      <c r="AB325" s="8">
        <f t="shared" si="65"/>
        <v>12660452</v>
      </c>
      <c r="AD325" s="6">
        <v>45612</v>
      </c>
      <c r="AE325" s="8">
        <v>1319520</v>
      </c>
      <c r="AF325" s="8">
        <v>445520</v>
      </c>
      <c r="AG325" s="8">
        <v>130200</v>
      </c>
      <c r="AH325" s="5">
        <f t="shared" si="74"/>
        <v>1895240</v>
      </c>
      <c r="AI325" s="8">
        <v>362720</v>
      </c>
      <c r="AJ325" s="8"/>
      <c r="AK325" s="5">
        <f t="shared" si="69"/>
        <v>2257960</v>
      </c>
      <c r="AM325" s="6">
        <v>45978</v>
      </c>
      <c r="AN325" s="8">
        <v>16140429</v>
      </c>
      <c r="AO325" s="8">
        <v>1665460</v>
      </c>
      <c r="AP325" s="8">
        <v>168100</v>
      </c>
      <c r="AQ325" s="5">
        <f t="shared" si="72"/>
        <v>17973989</v>
      </c>
      <c r="AR325" s="8">
        <v>4443810</v>
      </c>
      <c r="AS325" s="5">
        <v>146680</v>
      </c>
      <c r="AT325" s="8">
        <f t="shared" ref="AT325:AT392" si="78">AR325+AS325</f>
        <v>4590490</v>
      </c>
      <c r="AU325" s="8">
        <v>62340</v>
      </c>
      <c r="AV325" s="5">
        <f t="shared" si="70"/>
        <v>22626819</v>
      </c>
      <c r="AX325" s="6">
        <v>46344</v>
      </c>
      <c r="BB325" s="5"/>
      <c r="BD325" s="5"/>
      <c r="BG325" s="5"/>
    </row>
    <row r="326" spans="1:59">
      <c r="A326" s="13">
        <v>44156</v>
      </c>
      <c r="B326" s="14">
        <v>2106682</v>
      </c>
      <c r="C326" s="14">
        <v>959655</v>
      </c>
      <c r="D326" s="11">
        <f t="shared" si="77"/>
        <v>3066337</v>
      </c>
      <c r="F326" s="13">
        <v>44520</v>
      </c>
      <c r="G326" s="11">
        <v>1672492</v>
      </c>
      <c r="H326" s="11">
        <v>246880</v>
      </c>
      <c r="I326" s="11">
        <v>292250</v>
      </c>
      <c r="J326" s="11">
        <v>35800</v>
      </c>
      <c r="K326" s="7">
        <f t="shared" si="75"/>
        <v>2247422</v>
      </c>
      <c r="M326" s="6">
        <v>44884</v>
      </c>
      <c r="N326" s="5">
        <v>1719743</v>
      </c>
      <c r="O326" s="5">
        <v>1107690</v>
      </c>
      <c r="P326" s="5">
        <v>84580</v>
      </c>
      <c r="Q326" s="5">
        <f t="shared" si="76"/>
        <v>2912013</v>
      </c>
      <c r="R326" s="5">
        <v>56210</v>
      </c>
      <c r="S326" s="5">
        <f t="shared" si="73"/>
        <v>2968223</v>
      </c>
      <c r="U326" s="6">
        <v>45248</v>
      </c>
      <c r="V326" s="8">
        <v>2848540</v>
      </c>
      <c r="W326" s="8">
        <v>1560950</v>
      </c>
      <c r="X326" s="8">
        <v>54220</v>
      </c>
      <c r="Y326" s="26">
        <f t="shared" si="71"/>
        <v>4463710</v>
      </c>
      <c r="Z326" s="8">
        <v>279400</v>
      </c>
      <c r="AA326" s="8">
        <v>0</v>
      </c>
      <c r="AB326" s="8">
        <f t="shared" si="65"/>
        <v>4743110</v>
      </c>
      <c r="AD326" s="6">
        <v>45613</v>
      </c>
      <c r="AE326" s="8">
        <v>0</v>
      </c>
      <c r="AF326" s="8">
        <v>0</v>
      </c>
      <c r="AG326" s="8">
        <v>79440</v>
      </c>
      <c r="AH326" s="5">
        <f t="shared" si="74"/>
        <v>79440</v>
      </c>
      <c r="AI326" s="8">
        <v>365630</v>
      </c>
      <c r="AJ326" s="8"/>
      <c r="AK326" s="5">
        <f t="shared" si="69"/>
        <v>445070</v>
      </c>
      <c r="AM326" s="6">
        <v>45979</v>
      </c>
      <c r="AN326" s="8">
        <v>17358720</v>
      </c>
      <c r="AO326" s="8">
        <v>1996789</v>
      </c>
      <c r="AP326" s="8">
        <v>340200</v>
      </c>
      <c r="AQ326" s="5">
        <f t="shared" si="72"/>
        <v>19695709</v>
      </c>
      <c r="AR326" s="8">
        <v>3126890</v>
      </c>
      <c r="AS326" s="5">
        <v>132800</v>
      </c>
      <c r="AT326" s="8">
        <f t="shared" si="78"/>
        <v>3259690</v>
      </c>
      <c r="AU326" s="8">
        <v>223550</v>
      </c>
      <c r="AV326" s="5">
        <f t="shared" si="70"/>
        <v>23178949</v>
      </c>
      <c r="AX326" s="6">
        <v>46345</v>
      </c>
      <c r="BB326" s="5"/>
      <c r="BD326" s="5"/>
      <c r="BG326" s="5"/>
    </row>
    <row r="327" spans="1:59">
      <c r="A327" s="13">
        <v>44157</v>
      </c>
      <c r="B327" s="14">
        <v>2535841</v>
      </c>
      <c r="C327" s="14">
        <v>908300</v>
      </c>
      <c r="D327" s="11">
        <f t="shared" si="77"/>
        <v>3444141</v>
      </c>
      <c r="F327" s="13">
        <v>44521</v>
      </c>
      <c r="G327" s="11">
        <v>2835177</v>
      </c>
      <c r="H327" s="11">
        <v>1094580</v>
      </c>
      <c r="I327" s="11">
        <v>184670</v>
      </c>
      <c r="J327" s="11">
        <v>69100</v>
      </c>
      <c r="K327" s="7">
        <f t="shared" si="75"/>
        <v>4183527</v>
      </c>
      <c r="M327" s="6">
        <v>44885</v>
      </c>
      <c r="N327" s="5">
        <v>1937339</v>
      </c>
      <c r="O327" s="5">
        <v>1184630</v>
      </c>
      <c r="P327" s="5">
        <v>9200</v>
      </c>
      <c r="Q327" s="5">
        <f t="shared" si="76"/>
        <v>3131169</v>
      </c>
      <c r="R327" s="5">
        <v>57110</v>
      </c>
      <c r="S327" s="5">
        <f t="shared" si="73"/>
        <v>3188279</v>
      </c>
      <c r="U327" s="6">
        <v>45249</v>
      </c>
      <c r="V327" s="8">
        <v>4790420</v>
      </c>
      <c r="W327" s="8">
        <v>2117846</v>
      </c>
      <c r="X327" s="8">
        <v>135090</v>
      </c>
      <c r="Y327" s="26">
        <f t="shared" si="71"/>
        <v>7043356</v>
      </c>
      <c r="Z327" s="8">
        <v>661380</v>
      </c>
      <c r="AA327" s="8">
        <v>0</v>
      </c>
      <c r="AB327" s="8">
        <f t="shared" si="65"/>
        <v>7704736</v>
      </c>
      <c r="AD327" s="6">
        <v>45614</v>
      </c>
      <c r="AE327" s="8">
        <v>19831434</v>
      </c>
      <c r="AF327" s="8">
        <v>0</v>
      </c>
      <c r="AG327" s="8">
        <v>189910</v>
      </c>
      <c r="AH327" s="5">
        <f t="shared" si="74"/>
        <v>20021344</v>
      </c>
      <c r="AI327" s="8">
        <v>10980190</v>
      </c>
      <c r="AJ327" s="8"/>
      <c r="AK327" s="5">
        <f t="shared" ref="AK327:AK370" si="79">AH327+AJ327+AI327</f>
        <v>31001534</v>
      </c>
      <c r="AM327" s="6">
        <v>45980</v>
      </c>
      <c r="AN327" s="8">
        <v>15340790</v>
      </c>
      <c r="AO327" s="8">
        <v>2387984</v>
      </c>
      <c r="AP327" s="8">
        <v>310170</v>
      </c>
      <c r="AQ327" s="5">
        <f t="shared" si="72"/>
        <v>18038944</v>
      </c>
      <c r="AR327" s="8">
        <v>4448410</v>
      </c>
      <c r="AS327" s="5">
        <v>425400</v>
      </c>
      <c r="AT327" s="8">
        <f t="shared" si="78"/>
        <v>4873810</v>
      </c>
      <c r="AU327" s="8">
        <v>229500</v>
      </c>
      <c r="AV327" s="5">
        <f t="shared" si="70"/>
        <v>23142254</v>
      </c>
      <c r="AX327" s="6">
        <v>46346</v>
      </c>
      <c r="BB327" s="5"/>
      <c r="BD327" s="5"/>
      <c r="BG327" s="5"/>
    </row>
    <row r="328" spans="1:59">
      <c r="A328" s="13">
        <v>44158</v>
      </c>
      <c r="B328" s="14">
        <v>7633512</v>
      </c>
      <c r="C328" s="14">
        <v>2504240</v>
      </c>
      <c r="D328" s="11">
        <f t="shared" si="77"/>
        <v>10137752</v>
      </c>
      <c r="F328" s="13">
        <v>44522</v>
      </c>
      <c r="G328" s="11">
        <v>6594173</v>
      </c>
      <c r="H328" s="11">
        <v>1030640</v>
      </c>
      <c r="I328" s="11">
        <v>424530</v>
      </c>
      <c r="J328" s="11">
        <v>281900</v>
      </c>
      <c r="K328" s="7">
        <f t="shared" si="75"/>
        <v>8331243</v>
      </c>
      <c r="M328" s="6">
        <v>44886</v>
      </c>
      <c r="N328" s="5">
        <v>8531041</v>
      </c>
      <c r="O328" s="5">
        <v>3766340</v>
      </c>
      <c r="P328" s="5">
        <v>144150</v>
      </c>
      <c r="Q328" s="5">
        <f t="shared" si="76"/>
        <v>12441531</v>
      </c>
      <c r="R328" s="5">
        <v>866710</v>
      </c>
      <c r="S328" s="5">
        <f t="shared" si="73"/>
        <v>13308241</v>
      </c>
      <c r="U328" s="6">
        <v>45250</v>
      </c>
      <c r="V328" s="8">
        <v>7671547</v>
      </c>
      <c r="W328" s="8">
        <v>2717164</v>
      </c>
      <c r="X328" s="8">
        <v>147720</v>
      </c>
      <c r="Y328" s="26">
        <f t="shared" si="71"/>
        <v>10536431</v>
      </c>
      <c r="Z328" s="8">
        <v>684820</v>
      </c>
      <c r="AA328" s="8">
        <v>0</v>
      </c>
      <c r="AB328" s="8">
        <f t="shared" si="65"/>
        <v>11221251</v>
      </c>
      <c r="AD328" s="6">
        <v>45615</v>
      </c>
      <c r="AE328" s="8">
        <v>33127906</v>
      </c>
      <c r="AF328" s="8">
        <v>0</v>
      </c>
      <c r="AG328" s="8">
        <v>96910</v>
      </c>
      <c r="AH328" s="5">
        <f t="shared" si="74"/>
        <v>33224816</v>
      </c>
      <c r="AI328" s="8">
        <v>4953350</v>
      </c>
      <c r="AJ328" s="8"/>
      <c r="AK328" s="5">
        <f t="shared" si="79"/>
        <v>38178166</v>
      </c>
      <c r="AM328" s="6">
        <v>45981</v>
      </c>
      <c r="AN328" s="8">
        <v>16870842</v>
      </c>
      <c r="AO328" s="8">
        <v>2858683</v>
      </c>
      <c r="AP328" s="8">
        <v>161700</v>
      </c>
      <c r="AQ328" s="5">
        <f t="shared" si="72"/>
        <v>19891225</v>
      </c>
      <c r="AR328" s="8">
        <v>2654460</v>
      </c>
      <c r="AS328" s="5">
        <v>336380</v>
      </c>
      <c r="AT328" s="8">
        <f t="shared" si="78"/>
        <v>2990840</v>
      </c>
      <c r="AU328" s="8">
        <v>174200</v>
      </c>
      <c r="AV328" s="5">
        <f t="shared" si="70"/>
        <v>23056265</v>
      </c>
      <c r="AX328" s="6">
        <v>46347</v>
      </c>
      <c r="BB328" s="5"/>
      <c r="BD328" s="5"/>
      <c r="BG328" s="5"/>
    </row>
    <row r="329" spans="1:59">
      <c r="A329" s="13">
        <v>44159</v>
      </c>
      <c r="B329" s="14">
        <v>12903759</v>
      </c>
      <c r="C329" s="14">
        <v>2274750</v>
      </c>
      <c r="D329" s="11">
        <f t="shared" si="77"/>
        <v>15178509</v>
      </c>
      <c r="F329" s="13">
        <v>44523</v>
      </c>
      <c r="G329" s="11">
        <v>14983253</v>
      </c>
      <c r="H329" s="11">
        <v>2603690</v>
      </c>
      <c r="I329" s="11">
        <v>461900</v>
      </c>
      <c r="J329" s="11">
        <v>104900</v>
      </c>
      <c r="K329" s="7">
        <f t="shared" si="75"/>
        <v>18153743</v>
      </c>
      <c r="M329" s="6">
        <v>44887</v>
      </c>
      <c r="N329" s="5">
        <v>10220991</v>
      </c>
      <c r="O329" s="5">
        <v>3363368</v>
      </c>
      <c r="P329" s="5">
        <v>69880</v>
      </c>
      <c r="Q329" s="5">
        <f t="shared" si="76"/>
        <v>13654239</v>
      </c>
      <c r="R329" s="5">
        <v>993995</v>
      </c>
      <c r="S329" s="5">
        <f t="shared" si="73"/>
        <v>14648234</v>
      </c>
      <c r="U329" s="6">
        <v>45251</v>
      </c>
      <c r="V329" s="8">
        <v>10477583</v>
      </c>
      <c r="W329" s="8">
        <v>2918748</v>
      </c>
      <c r="X329" s="8">
        <v>147030</v>
      </c>
      <c r="Y329" s="26">
        <f t="shared" si="71"/>
        <v>13543361</v>
      </c>
      <c r="Z329" s="8">
        <v>1113630</v>
      </c>
      <c r="AA329" s="8">
        <v>27000</v>
      </c>
      <c r="AB329" s="8">
        <f t="shared" si="65"/>
        <v>14683991</v>
      </c>
      <c r="AD329" s="6">
        <v>45616</v>
      </c>
      <c r="AE329" s="8">
        <v>28490715</v>
      </c>
      <c r="AF329" s="8">
        <v>0</v>
      </c>
      <c r="AG329" s="8">
        <v>93820</v>
      </c>
      <c r="AH329" s="5">
        <f t="shared" si="74"/>
        <v>28584535</v>
      </c>
      <c r="AI329" s="8">
        <v>3770520</v>
      </c>
      <c r="AJ329" s="8"/>
      <c r="AK329" s="5">
        <f t="shared" si="79"/>
        <v>32355055</v>
      </c>
      <c r="AM329" s="6">
        <v>45982</v>
      </c>
      <c r="AN329" s="8">
        <v>12440402</v>
      </c>
      <c r="AO329" s="8">
        <v>2604976</v>
      </c>
      <c r="AP329" s="8">
        <v>86380</v>
      </c>
      <c r="AQ329" s="5">
        <f t="shared" si="72"/>
        <v>15131758</v>
      </c>
      <c r="AR329" s="8">
        <v>6121286</v>
      </c>
      <c r="AS329" s="5">
        <v>233300</v>
      </c>
      <c r="AT329" s="8">
        <f t="shared" si="78"/>
        <v>6354586</v>
      </c>
      <c r="AU329" s="8">
        <v>219750</v>
      </c>
      <c r="AV329" s="5">
        <f t="shared" si="70"/>
        <v>21706094</v>
      </c>
      <c r="AX329" s="6">
        <v>46348</v>
      </c>
      <c r="BB329" s="5"/>
      <c r="BD329" s="5"/>
      <c r="BG329" s="5"/>
    </row>
    <row r="330" spans="1:59">
      <c r="A330" s="13">
        <v>44160</v>
      </c>
      <c r="B330" s="14">
        <v>8434604</v>
      </c>
      <c r="C330" s="14">
        <v>1954260</v>
      </c>
      <c r="D330" s="11">
        <f t="shared" si="77"/>
        <v>10388864</v>
      </c>
      <c r="F330" s="13">
        <v>44524</v>
      </c>
      <c r="G330" s="11">
        <v>11213414</v>
      </c>
      <c r="H330" s="11">
        <v>2055790</v>
      </c>
      <c r="I330" s="11">
        <v>458120</v>
      </c>
      <c r="J330" s="11">
        <v>87000</v>
      </c>
      <c r="K330" s="7">
        <f t="shared" si="75"/>
        <v>13814324</v>
      </c>
      <c r="M330" s="6">
        <v>44888</v>
      </c>
      <c r="N330" s="5">
        <v>9441139</v>
      </c>
      <c r="O330" s="5">
        <v>3730100</v>
      </c>
      <c r="P330" s="5">
        <v>159180</v>
      </c>
      <c r="Q330" s="5">
        <f t="shared" si="76"/>
        <v>13330419</v>
      </c>
      <c r="R330" s="5">
        <v>382130</v>
      </c>
      <c r="S330" s="5">
        <f t="shared" si="73"/>
        <v>13712549</v>
      </c>
      <c r="U330" s="6">
        <v>45252</v>
      </c>
      <c r="V330" s="8">
        <v>13668062</v>
      </c>
      <c r="W330" s="8">
        <v>3278024</v>
      </c>
      <c r="X330" s="8">
        <v>147340</v>
      </c>
      <c r="Y330" s="26">
        <f t="shared" si="71"/>
        <v>17093426</v>
      </c>
      <c r="Z330" s="8">
        <v>986090</v>
      </c>
      <c r="AA330" s="8">
        <v>27000</v>
      </c>
      <c r="AB330" s="8">
        <f t="shared" si="65"/>
        <v>18106516</v>
      </c>
      <c r="AD330" s="6">
        <v>45617</v>
      </c>
      <c r="AE330" s="8">
        <v>16557674</v>
      </c>
      <c r="AF330" s="8">
        <v>0</v>
      </c>
      <c r="AG330" s="8">
        <v>94620</v>
      </c>
      <c r="AH330" s="5">
        <f t="shared" si="74"/>
        <v>16652294</v>
      </c>
      <c r="AI330" s="8">
        <v>2593420</v>
      </c>
      <c r="AJ330" s="8"/>
      <c r="AK330" s="5">
        <f t="shared" si="79"/>
        <v>19245714</v>
      </c>
      <c r="AM330" s="6">
        <v>45983</v>
      </c>
      <c r="AN330" s="8">
        <v>0</v>
      </c>
      <c r="AO330" s="8">
        <v>0</v>
      </c>
      <c r="AP330" s="8">
        <v>140060</v>
      </c>
      <c r="AQ330" s="5">
        <f t="shared" si="72"/>
        <v>140060</v>
      </c>
      <c r="AR330" s="8">
        <v>3457266</v>
      </c>
      <c r="AS330" s="5">
        <v>341400</v>
      </c>
      <c r="AT330" s="8">
        <f t="shared" si="78"/>
        <v>3798666</v>
      </c>
      <c r="AU330" s="8">
        <v>100000</v>
      </c>
      <c r="AV330" s="5">
        <f t="shared" si="70"/>
        <v>4038726</v>
      </c>
      <c r="AX330" s="6">
        <v>46349</v>
      </c>
      <c r="BB330" s="5"/>
      <c r="BD330" s="5"/>
      <c r="BG330" s="5"/>
    </row>
    <row r="331" spans="1:59">
      <c r="A331" s="13">
        <v>44161</v>
      </c>
      <c r="B331" s="14">
        <v>10352181</v>
      </c>
      <c r="C331" s="14">
        <v>2577450</v>
      </c>
      <c r="D331" s="11">
        <f t="shared" si="77"/>
        <v>12929631</v>
      </c>
      <c r="F331" s="13">
        <v>44525</v>
      </c>
      <c r="G331" s="11">
        <v>10031445</v>
      </c>
      <c r="H331" s="11">
        <v>1486580</v>
      </c>
      <c r="I331" s="11">
        <v>385930</v>
      </c>
      <c r="J331" s="11">
        <v>156100</v>
      </c>
      <c r="K331" s="7">
        <f t="shared" si="75"/>
        <v>12060055</v>
      </c>
      <c r="M331" s="6">
        <v>44889</v>
      </c>
      <c r="N331" s="5">
        <v>10319763</v>
      </c>
      <c r="O331" s="5">
        <v>3345150</v>
      </c>
      <c r="P331" s="5">
        <v>19100</v>
      </c>
      <c r="Q331" s="5">
        <f t="shared" si="76"/>
        <v>13684013</v>
      </c>
      <c r="R331" s="5">
        <v>160010</v>
      </c>
      <c r="S331" s="5">
        <f t="shared" si="73"/>
        <v>13844023</v>
      </c>
      <c r="U331" s="6">
        <v>45253</v>
      </c>
      <c r="V331" s="8">
        <v>15457762</v>
      </c>
      <c r="W331" s="8">
        <v>2696660</v>
      </c>
      <c r="X331" s="8">
        <v>234920</v>
      </c>
      <c r="Y331" s="26">
        <f t="shared" si="71"/>
        <v>18389342</v>
      </c>
      <c r="Z331" s="8">
        <v>450400</v>
      </c>
      <c r="AA331" s="8">
        <v>0</v>
      </c>
      <c r="AB331" s="8">
        <f t="shared" si="65"/>
        <v>18839742</v>
      </c>
      <c r="AD331" s="6">
        <v>45618</v>
      </c>
      <c r="AE331" s="8">
        <v>10132204</v>
      </c>
      <c r="AF331" s="8">
        <v>0</v>
      </c>
      <c r="AG331" s="8">
        <v>190760</v>
      </c>
      <c r="AH331" s="5">
        <f t="shared" si="74"/>
        <v>10322964</v>
      </c>
      <c r="AI331" s="8">
        <v>1637350</v>
      </c>
      <c r="AJ331" s="8"/>
      <c r="AK331" s="5">
        <f t="shared" si="79"/>
        <v>11960314</v>
      </c>
      <c r="AM331" s="6">
        <v>45984</v>
      </c>
      <c r="AN331" s="8">
        <v>14229440</v>
      </c>
      <c r="AO331" s="8">
        <v>2386004</v>
      </c>
      <c r="AP331" s="8">
        <v>124910</v>
      </c>
      <c r="AQ331" s="5">
        <f t="shared" si="72"/>
        <v>16740354</v>
      </c>
      <c r="AR331" s="8">
        <v>3410375</v>
      </c>
      <c r="AS331" s="5">
        <v>336400</v>
      </c>
      <c r="AT331" s="8">
        <f t="shared" si="78"/>
        <v>3746775</v>
      </c>
      <c r="AU331" s="8">
        <v>47500</v>
      </c>
      <c r="AV331" s="5">
        <f t="shared" si="70"/>
        <v>20534629</v>
      </c>
      <c r="AX331" s="6">
        <v>46350</v>
      </c>
      <c r="BB331" s="5"/>
      <c r="BD331" s="5"/>
      <c r="BG331" s="5"/>
    </row>
    <row r="332" spans="1:59">
      <c r="A332" s="13">
        <v>44162</v>
      </c>
      <c r="B332" s="14">
        <v>5571056</v>
      </c>
      <c r="C332" s="14">
        <v>2455410</v>
      </c>
      <c r="D332" s="11">
        <f t="shared" si="77"/>
        <v>8026466</v>
      </c>
      <c r="F332" s="13">
        <v>44526</v>
      </c>
      <c r="G332" s="11">
        <v>5723623</v>
      </c>
      <c r="H332" s="11">
        <v>1983910</v>
      </c>
      <c r="I332" s="11">
        <v>408040</v>
      </c>
      <c r="J332" s="11">
        <v>529840</v>
      </c>
      <c r="K332" s="7">
        <f t="shared" si="75"/>
        <v>8645413</v>
      </c>
      <c r="M332" s="6">
        <v>44890</v>
      </c>
      <c r="N332" s="5">
        <v>8624438</v>
      </c>
      <c r="O332" s="5">
        <v>2676510</v>
      </c>
      <c r="P332" s="5">
        <v>152620</v>
      </c>
      <c r="Q332" s="5">
        <f t="shared" si="76"/>
        <v>11453568</v>
      </c>
      <c r="R332" s="5">
        <v>101310</v>
      </c>
      <c r="S332" s="5">
        <f t="shared" si="73"/>
        <v>11554878</v>
      </c>
      <c r="U332" s="6">
        <v>45254</v>
      </c>
      <c r="V332" s="8">
        <v>15410653</v>
      </c>
      <c r="W332" s="8">
        <v>950252</v>
      </c>
      <c r="X332" s="8">
        <v>99540</v>
      </c>
      <c r="Y332" s="26">
        <f t="shared" si="71"/>
        <v>16460445</v>
      </c>
      <c r="Z332" s="8">
        <v>357140</v>
      </c>
      <c r="AA332" s="8">
        <v>0</v>
      </c>
      <c r="AB332" s="8">
        <f t="shared" si="65"/>
        <v>16817585</v>
      </c>
      <c r="AD332" s="6">
        <v>45619</v>
      </c>
      <c r="AE332" s="8">
        <v>6531135</v>
      </c>
      <c r="AF332" s="8">
        <v>0</v>
      </c>
      <c r="AG332" s="8">
        <v>91710</v>
      </c>
      <c r="AH332" s="5">
        <f t="shared" si="74"/>
        <v>6622845</v>
      </c>
      <c r="AI332" s="8">
        <v>1621020</v>
      </c>
      <c r="AJ332" s="8"/>
      <c r="AK332" s="5">
        <f t="shared" si="79"/>
        <v>8243865</v>
      </c>
      <c r="AM332" s="6">
        <v>45985</v>
      </c>
      <c r="AN332" s="8">
        <v>802142</v>
      </c>
      <c r="AO332" s="8">
        <v>161535</v>
      </c>
      <c r="AP332" s="8">
        <v>208620</v>
      </c>
      <c r="AQ332" s="5">
        <f t="shared" si="72"/>
        <v>1172297</v>
      </c>
      <c r="AR332" s="8">
        <v>4298006</v>
      </c>
      <c r="AS332" s="5">
        <v>217300</v>
      </c>
      <c r="AT332" s="8">
        <f t="shared" si="78"/>
        <v>4515306</v>
      </c>
      <c r="AU332" s="8">
        <v>62500</v>
      </c>
      <c r="AV332" s="5">
        <f t="shared" si="70"/>
        <v>5750103</v>
      </c>
      <c r="AX332" s="6">
        <v>46351</v>
      </c>
      <c r="BB332" s="5"/>
      <c r="BD332" s="5"/>
      <c r="BG332" s="5"/>
    </row>
    <row r="333" spans="1:59">
      <c r="A333" s="13">
        <v>44163</v>
      </c>
      <c r="B333" s="14">
        <v>2314314</v>
      </c>
      <c r="C333" s="14">
        <v>1008040</v>
      </c>
      <c r="D333" s="11">
        <f t="shared" si="77"/>
        <v>3322354</v>
      </c>
      <c r="F333" s="13">
        <v>44527</v>
      </c>
      <c r="G333" s="11">
        <v>3151616</v>
      </c>
      <c r="H333" s="11">
        <v>547900</v>
      </c>
      <c r="I333" s="11">
        <v>67500</v>
      </c>
      <c r="J333" s="11">
        <v>131880</v>
      </c>
      <c r="K333" s="7">
        <f t="shared" si="75"/>
        <v>3898896</v>
      </c>
      <c r="M333" s="6">
        <v>44891</v>
      </c>
      <c r="N333" s="5">
        <v>3018952</v>
      </c>
      <c r="O333" s="5">
        <v>1442690</v>
      </c>
      <c r="P333" s="5">
        <v>82630</v>
      </c>
      <c r="Q333" s="5">
        <f t="shared" si="76"/>
        <v>4544272</v>
      </c>
      <c r="R333" s="5">
        <v>88110</v>
      </c>
      <c r="S333" s="5">
        <f t="shared" si="73"/>
        <v>4632382</v>
      </c>
      <c r="U333" s="6">
        <v>45255</v>
      </c>
      <c r="V333" s="8">
        <v>1999506</v>
      </c>
      <c r="W333" s="8">
        <v>483876</v>
      </c>
      <c r="X333" s="8">
        <v>52820</v>
      </c>
      <c r="Y333" s="26">
        <f t="shared" si="71"/>
        <v>2536202</v>
      </c>
      <c r="Z333" s="8">
        <v>333850</v>
      </c>
      <c r="AA333" s="8">
        <v>0</v>
      </c>
      <c r="AB333" s="8">
        <f t="shared" si="65"/>
        <v>2870052</v>
      </c>
      <c r="AD333" s="6">
        <v>45620</v>
      </c>
      <c r="AE333" s="8">
        <v>6650829</v>
      </c>
      <c r="AF333" s="8">
        <v>0</v>
      </c>
      <c r="AG333" s="8">
        <v>77640</v>
      </c>
      <c r="AH333" s="5">
        <f t="shared" si="74"/>
        <v>6728469</v>
      </c>
      <c r="AI333" s="8">
        <v>2236390</v>
      </c>
      <c r="AJ333" s="8"/>
      <c r="AK333" s="5">
        <f t="shared" si="79"/>
        <v>8964859</v>
      </c>
      <c r="AM333" s="6">
        <v>45986</v>
      </c>
      <c r="AN333" s="8">
        <v>13384054</v>
      </c>
      <c r="AO333" s="8">
        <v>1621634</v>
      </c>
      <c r="AP333" s="8">
        <v>371680</v>
      </c>
      <c r="AQ333" s="5">
        <f t="shared" si="72"/>
        <v>15377368</v>
      </c>
      <c r="AR333" s="8">
        <v>4987005</v>
      </c>
      <c r="AS333" s="5">
        <v>414800</v>
      </c>
      <c r="AT333" s="8">
        <f t="shared" si="78"/>
        <v>5401805</v>
      </c>
      <c r="AU333" s="8">
        <v>214670</v>
      </c>
      <c r="AV333" s="5">
        <f t="shared" si="70"/>
        <v>20993843</v>
      </c>
      <c r="AX333" s="6">
        <v>46352</v>
      </c>
      <c r="BB333" s="5"/>
      <c r="BD333" s="5"/>
      <c r="BG333" s="5"/>
    </row>
    <row r="334" spans="1:59">
      <c r="A334" s="13">
        <v>44164</v>
      </c>
      <c r="B334" s="14">
        <v>2572918</v>
      </c>
      <c r="C334" s="14">
        <v>1357370</v>
      </c>
      <c r="D334" s="11">
        <f t="shared" si="77"/>
        <v>3930288</v>
      </c>
      <c r="F334" s="13">
        <v>44528</v>
      </c>
      <c r="G334" s="11">
        <v>3124320</v>
      </c>
      <c r="H334" s="11">
        <v>716223</v>
      </c>
      <c r="I334" s="11">
        <v>261670</v>
      </c>
      <c r="J334" s="11">
        <v>727950</v>
      </c>
      <c r="K334" s="7">
        <f t="shared" si="75"/>
        <v>4830163</v>
      </c>
      <c r="M334" s="6">
        <v>44892</v>
      </c>
      <c r="N334" s="5">
        <v>4100440</v>
      </c>
      <c r="O334" s="5">
        <v>1241790</v>
      </c>
      <c r="P334" s="5">
        <v>159730</v>
      </c>
      <c r="Q334" s="5">
        <f t="shared" si="76"/>
        <v>5501960</v>
      </c>
      <c r="R334" s="5">
        <v>507040</v>
      </c>
      <c r="S334" s="5">
        <f t="shared" si="73"/>
        <v>6009000</v>
      </c>
      <c r="U334" s="6">
        <v>45256</v>
      </c>
      <c r="V334" s="8">
        <v>2551561</v>
      </c>
      <c r="W334" s="8">
        <v>1123118</v>
      </c>
      <c r="X334" s="8">
        <v>314240</v>
      </c>
      <c r="Y334" s="26">
        <f t="shared" si="71"/>
        <v>3988919</v>
      </c>
      <c r="Z334" s="8">
        <v>587730</v>
      </c>
      <c r="AA334" s="8">
        <v>20400</v>
      </c>
      <c r="AB334" s="8">
        <f t="shared" si="65"/>
        <v>4597049</v>
      </c>
      <c r="AD334" s="6">
        <v>45621</v>
      </c>
      <c r="AE334" s="8">
        <v>12065123</v>
      </c>
      <c r="AF334" s="8">
        <v>0</v>
      </c>
      <c r="AG334" s="8">
        <v>92730</v>
      </c>
      <c r="AH334" s="5">
        <f t="shared" si="74"/>
        <v>12157853</v>
      </c>
      <c r="AI334" s="8">
        <v>6399222</v>
      </c>
      <c r="AJ334" s="8"/>
      <c r="AK334" s="5">
        <f t="shared" si="79"/>
        <v>18557075</v>
      </c>
      <c r="AM334" s="6">
        <v>45987</v>
      </c>
      <c r="AN334" s="8">
        <v>13938509</v>
      </c>
      <c r="AO334" s="8">
        <v>1543670</v>
      </c>
      <c r="AP334" s="8">
        <v>145480</v>
      </c>
      <c r="AQ334" s="5">
        <f t="shared" si="72"/>
        <v>15627659</v>
      </c>
      <c r="AR334" s="8">
        <v>4588980</v>
      </c>
      <c r="AS334" s="5">
        <v>160100</v>
      </c>
      <c r="AT334" s="8">
        <f t="shared" si="78"/>
        <v>4749080</v>
      </c>
      <c r="AU334" s="8">
        <v>87500</v>
      </c>
      <c r="AV334" s="5">
        <f t="shared" si="70"/>
        <v>20464239</v>
      </c>
      <c r="AX334" s="6">
        <v>46353</v>
      </c>
      <c r="BB334" s="5"/>
      <c r="BD334" s="5"/>
      <c r="BG334" s="5"/>
    </row>
    <row r="335" spans="1:59">
      <c r="A335" s="13">
        <v>44165</v>
      </c>
      <c r="B335" s="14">
        <v>5122478</v>
      </c>
      <c r="C335" s="14">
        <v>2560226</v>
      </c>
      <c r="D335" s="11">
        <f t="shared" si="77"/>
        <v>7682704</v>
      </c>
      <c r="F335" s="13">
        <v>44529</v>
      </c>
      <c r="G335" s="11">
        <v>16446784</v>
      </c>
      <c r="H335" s="11">
        <v>3477251</v>
      </c>
      <c r="I335" s="11">
        <v>490630</v>
      </c>
      <c r="J335" s="11">
        <v>1675440</v>
      </c>
      <c r="K335" s="7">
        <f t="shared" si="75"/>
        <v>22090105</v>
      </c>
      <c r="M335" s="6">
        <v>44893</v>
      </c>
      <c r="N335" s="5">
        <v>9301697</v>
      </c>
      <c r="O335" s="5">
        <v>3248990</v>
      </c>
      <c r="P335" s="5">
        <v>154550</v>
      </c>
      <c r="Q335" s="5">
        <f t="shared" si="76"/>
        <v>12705237</v>
      </c>
      <c r="R335" s="5">
        <v>175600</v>
      </c>
      <c r="S335" s="5">
        <f t="shared" si="73"/>
        <v>12880837</v>
      </c>
      <c r="U335" s="6">
        <v>45257</v>
      </c>
      <c r="V335" s="8">
        <v>31050775</v>
      </c>
      <c r="W335" s="8">
        <v>3358118</v>
      </c>
      <c r="X335" s="8">
        <v>338640</v>
      </c>
      <c r="Y335" s="26">
        <f t="shared" si="71"/>
        <v>34747533</v>
      </c>
      <c r="Z335" s="8">
        <v>431500</v>
      </c>
      <c r="AA335" s="8">
        <v>20400</v>
      </c>
      <c r="AB335" s="8">
        <f t="shared" si="65"/>
        <v>35199433</v>
      </c>
      <c r="AD335" s="6">
        <v>45622</v>
      </c>
      <c r="AE335" s="8">
        <v>16539396</v>
      </c>
      <c r="AF335" s="8">
        <v>0</v>
      </c>
      <c r="AG335" s="8">
        <v>160310</v>
      </c>
      <c r="AH335" s="5">
        <f t="shared" si="74"/>
        <v>16699706</v>
      </c>
      <c r="AI335" s="8">
        <v>6743733</v>
      </c>
      <c r="AJ335" s="8"/>
      <c r="AK335" s="5">
        <f t="shared" si="79"/>
        <v>23443439</v>
      </c>
      <c r="AM335" s="6">
        <v>45988</v>
      </c>
      <c r="AN335" s="8">
        <v>13997488</v>
      </c>
      <c r="AO335" s="8">
        <v>2386299</v>
      </c>
      <c r="AP335" s="8">
        <v>348970</v>
      </c>
      <c r="AQ335" s="5">
        <f t="shared" si="72"/>
        <v>16732757</v>
      </c>
      <c r="AR335" s="8">
        <v>5872060</v>
      </c>
      <c r="AS335" s="5">
        <v>255200</v>
      </c>
      <c r="AT335" s="8">
        <f t="shared" si="78"/>
        <v>6127260</v>
      </c>
      <c r="AU335" s="8">
        <v>76900</v>
      </c>
      <c r="AV335" s="5">
        <f t="shared" si="70"/>
        <v>22936917</v>
      </c>
      <c r="AX335" s="6">
        <v>46354</v>
      </c>
      <c r="BB335" s="5"/>
      <c r="BD335" s="5"/>
      <c r="BG335" s="5"/>
    </row>
    <row r="336" spans="1:59">
      <c r="A336" s="13">
        <v>44166</v>
      </c>
      <c r="B336" s="14">
        <v>24756251</v>
      </c>
      <c r="C336" s="14">
        <v>2011310</v>
      </c>
      <c r="D336" s="11">
        <f t="shared" si="77"/>
        <v>26767561</v>
      </c>
      <c r="F336" s="13">
        <v>44530</v>
      </c>
      <c r="G336" s="11">
        <v>17741680</v>
      </c>
      <c r="H336" s="11">
        <v>2395660</v>
      </c>
      <c r="I336" s="11">
        <v>962530</v>
      </c>
      <c r="J336" s="11">
        <v>259210</v>
      </c>
      <c r="K336" s="7">
        <f t="shared" si="75"/>
        <v>21359080</v>
      </c>
      <c r="M336" s="6">
        <v>44894</v>
      </c>
      <c r="N336" s="5">
        <v>13849542</v>
      </c>
      <c r="O336" s="5">
        <v>4211655</v>
      </c>
      <c r="P336" s="5">
        <v>72960</v>
      </c>
      <c r="Q336" s="5">
        <f t="shared" si="76"/>
        <v>18134157</v>
      </c>
      <c r="R336" s="5">
        <v>175810</v>
      </c>
      <c r="S336" s="5">
        <f t="shared" si="73"/>
        <v>18309967</v>
      </c>
      <c r="U336" s="6">
        <v>45258</v>
      </c>
      <c r="V336" s="8">
        <v>576161</v>
      </c>
      <c r="W336" s="8">
        <v>262080</v>
      </c>
      <c r="X336" s="8">
        <v>154310</v>
      </c>
      <c r="Y336" s="26">
        <f t="shared" si="71"/>
        <v>992551</v>
      </c>
      <c r="Z336" s="8">
        <v>829160</v>
      </c>
      <c r="AA336" s="8">
        <v>11500</v>
      </c>
      <c r="AB336" s="8">
        <f t="shared" si="65"/>
        <v>1833211</v>
      </c>
      <c r="AD336" s="6">
        <v>45623</v>
      </c>
      <c r="AE336" s="8">
        <v>20663723</v>
      </c>
      <c r="AF336" s="8">
        <v>0</v>
      </c>
      <c r="AG336" s="8">
        <v>181540</v>
      </c>
      <c r="AH336" s="5">
        <f t="shared" si="74"/>
        <v>20845263</v>
      </c>
      <c r="AI336" s="8">
        <v>5291270</v>
      </c>
      <c r="AJ336" s="8"/>
      <c r="AK336" s="5">
        <f t="shared" si="79"/>
        <v>26136533</v>
      </c>
      <c r="AM336" s="6">
        <v>45989</v>
      </c>
      <c r="AN336" s="8">
        <v>13611496</v>
      </c>
      <c r="AO336" s="8">
        <v>1582943</v>
      </c>
      <c r="AP336" s="8">
        <v>332140</v>
      </c>
      <c r="AQ336" s="5">
        <f t="shared" si="72"/>
        <v>15526579</v>
      </c>
      <c r="AR336" s="8">
        <v>14991030</v>
      </c>
      <c r="AS336" s="5">
        <v>89700</v>
      </c>
      <c r="AT336" s="8">
        <f t="shared" si="78"/>
        <v>15080730</v>
      </c>
      <c r="AU336" s="8">
        <v>118000</v>
      </c>
      <c r="AV336" s="5">
        <f t="shared" si="70"/>
        <v>30725309</v>
      </c>
      <c r="AX336" s="6">
        <v>46355</v>
      </c>
      <c r="BB336" s="5"/>
      <c r="BD336" s="5"/>
      <c r="BG336" s="5"/>
    </row>
    <row r="337" spans="1:59">
      <c r="A337" s="13">
        <v>44167</v>
      </c>
      <c r="B337" s="14">
        <v>12009833</v>
      </c>
      <c r="C337" s="14">
        <v>1477073</v>
      </c>
      <c r="D337" s="11">
        <f t="shared" si="77"/>
        <v>13486906</v>
      </c>
      <c r="F337" s="13">
        <v>44531</v>
      </c>
      <c r="G337" s="11">
        <v>11662637</v>
      </c>
      <c r="H337" s="11">
        <v>2427210</v>
      </c>
      <c r="I337" s="11">
        <v>558730</v>
      </c>
      <c r="J337" s="11">
        <v>1136438</v>
      </c>
      <c r="K337" s="7">
        <f t="shared" si="75"/>
        <v>15785015</v>
      </c>
      <c r="M337" s="6">
        <v>44895</v>
      </c>
      <c r="N337" s="5">
        <v>6341216</v>
      </c>
      <c r="O337" s="5">
        <v>2422180</v>
      </c>
      <c r="P337" s="5">
        <v>36040</v>
      </c>
      <c r="Q337" s="5">
        <f t="shared" si="76"/>
        <v>8799436</v>
      </c>
      <c r="R337" s="5">
        <v>134900</v>
      </c>
      <c r="S337" s="5">
        <f t="shared" si="73"/>
        <v>8934336</v>
      </c>
      <c r="U337" s="6">
        <v>45259</v>
      </c>
      <c r="V337" s="8">
        <v>4742588</v>
      </c>
      <c r="W337" s="8">
        <v>1137670</v>
      </c>
      <c r="X337" s="8">
        <v>161000</v>
      </c>
      <c r="Y337" s="26">
        <f t="shared" si="71"/>
        <v>6041258</v>
      </c>
      <c r="Z337" s="8">
        <v>855370</v>
      </c>
      <c r="AA337" s="8">
        <v>0</v>
      </c>
      <c r="AB337" s="8">
        <f t="shared" si="65"/>
        <v>6896628</v>
      </c>
      <c r="AD337" s="6">
        <v>45624</v>
      </c>
      <c r="AE337" s="8">
        <v>27770025</v>
      </c>
      <c r="AF337" s="8">
        <v>0</v>
      </c>
      <c r="AG337" s="8">
        <v>40600</v>
      </c>
      <c r="AH337" s="5">
        <f t="shared" si="74"/>
        <v>27810625</v>
      </c>
      <c r="AI337" s="8">
        <v>5381940</v>
      </c>
      <c r="AJ337" s="8"/>
      <c r="AK337" s="5">
        <f t="shared" si="79"/>
        <v>33192565</v>
      </c>
      <c r="AM337" s="6">
        <v>45990</v>
      </c>
      <c r="AN337" s="8">
        <v>0</v>
      </c>
      <c r="AO337" s="8">
        <v>0</v>
      </c>
      <c r="AP337" s="8">
        <v>193120</v>
      </c>
      <c r="AQ337" s="5">
        <f t="shared" si="72"/>
        <v>193120</v>
      </c>
      <c r="AR337" s="8">
        <v>1051810</v>
      </c>
      <c r="AS337" s="5">
        <v>165500</v>
      </c>
      <c r="AT337" s="8">
        <f t="shared" si="78"/>
        <v>1217310</v>
      </c>
      <c r="AU337" s="8">
        <v>87500</v>
      </c>
      <c r="AV337" s="5">
        <f t="shared" si="70"/>
        <v>1497930</v>
      </c>
      <c r="AX337" s="6">
        <v>46356</v>
      </c>
      <c r="BB337" s="5"/>
      <c r="BD337" s="5"/>
      <c r="BG337" s="5"/>
    </row>
    <row r="338" spans="1:59">
      <c r="A338" s="13">
        <v>44168</v>
      </c>
      <c r="B338" s="14">
        <v>14265810</v>
      </c>
      <c r="C338" s="14">
        <v>1439000</v>
      </c>
      <c r="D338" s="11">
        <f t="shared" si="77"/>
        <v>15704810</v>
      </c>
      <c r="F338" s="13">
        <v>44532</v>
      </c>
      <c r="G338" s="11">
        <v>10247232</v>
      </c>
      <c r="H338" s="11">
        <v>2232760</v>
      </c>
      <c r="I338" s="11">
        <v>402850</v>
      </c>
      <c r="J338" s="11">
        <v>822520</v>
      </c>
      <c r="K338" s="7">
        <f t="shared" si="75"/>
        <v>13705362</v>
      </c>
      <c r="M338" s="6">
        <v>44896</v>
      </c>
      <c r="N338" s="5">
        <v>4607581</v>
      </c>
      <c r="O338" s="5">
        <v>1075450</v>
      </c>
      <c r="P338" s="5">
        <v>181580</v>
      </c>
      <c r="Q338" s="5">
        <f t="shared" si="76"/>
        <v>5864611</v>
      </c>
      <c r="R338" s="5">
        <v>149600</v>
      </c>
      <c r="S338" s="5">
        <f t="shared" si="73"/>
        <v>6014211</v>
      </c>
      <c r="U338" s="6">
        <v>45260</v>
      </c>
      <c r="V338" s="8">
        <v>5559945</v>
      </c>
      <c r="W338" s="8">
        <v>5559945</v>
      </c>
      <c r="X338" s="8">
        <v>135110</v>
      </c>
      <c r="Y338" s="26">
        <f t="shared" si="71"/>
        <v>11255000</v>
      </c>
      <c r="Z338" s="8">
        <v>1832760</v>
      </c>
      <c r="AA338" s="8">
        <v>16500</v>
      </c>
      <c r="AB338" s="8">
        <f t="shared" si="65"/>
        <v>13104260</v>
      </c>
      <c r="AD338" s="6">
        <v>45625</v>
      </c>
      <c r="AE338" s="8">
        <v>37325492</v>
      </c>
      <c r="AF338" s="8">
        <v>0</v>
      </c>
      <c r="AG338" s="8">
        <v>78110</v>
      </c>
      <c r="AH338" s="5">
        <f t="shared" si="74"/>
        <v>37403602</v>
      </c>
      <c r="AI338" s="8">
        <v>6653960</v>
      </c>
      <c r="AJ338" s="8"/>
      <c r="AK338" s="5">
        <f t="shared" si="79"/>
        <v>44057562</v>
      </c>
      <c r="AM338" s="6">
        <v>45991</v>
      </c>
      <c r="AN338" s="8">
        <v>16382428</v>
      </c>
      <c r="AO338" s="8">
        <v>1468755</v>
      </c>
      <c r="AP338" s="8">
        <v>249900</v>
      </c>
      <c r="AQ338" s="5">
        <f t="shared" si="72"/>
        <v>18101083</v>
      </c>
      <c r="AR338" s="8">
        <v>912770</v>
      </c>
      <c r="AS338" s="5">
        <v>179580</v>
      </c>
      <c r="AT338" s="8">
        <f t="shared" si="78"/>
        <v>1092350</v>
      </c>
      <c r="AU338" s="8">
        <v>79900</v>
      </c>
      <c r="AV338" s="5">
        <f t="shared" si="70"/>
        <v>19273333</v>
      </c>
      <c r="AX338" s="6">
        <v>46357</v>
      </c>
      <c r="BB338" s="5"/>
      <c r="BD338" s="5"/>
      <c r="BG338" s="5"/>
    </row>
    <row r="339" spans="1:59">
      <c r="A339" s="13">
        <v>44169</v>
      </c>
      <c r="B339" s="14">
        <v>4906806</v>
      </c>
      <c r="C339" s="14">
        <v>1412490</v>
      </c>
      <c r="D339" s="11">
        <f t="shared" si="77"/>
        <v>6319296</v>
      </c>
      <c r="F339" s="13">
        <v>44533</v>
      </c>
      <c r="G339" s="11">
        <v>17329502</v>
      </c>
      <c r="H339" s="11">
        <v>6465850</v>
      </c>
      <c r="I339" s="11">
        <v>257140</v>
      </c>
      <c r="J339" s="11">
        <v>400092</v>
      </c>
      <c r="K339" s="7">
        <f t="shared" si="75"/>
        <v>24452584</v>
      </c>
      <c r="M339" s="6">
        <v>44897</v>
      </c>
      <c r="N339" s="5">
        <v>2367035</v>
      </c>
      <c r="O339" s="5">
        <v>965160</v>
      </c>
      <c r="P339" s="5">
        <v>232350</v>
      </c>
      <c r="Q339" s="5">
        <f t="shared" si="76"/>
        <v>3564545</v>
      </c>
      <c r="R339" s="5">
        <v>148110</v>
      </c>
      <c r="S339" s="5">
        <f t="shared" si="73"/>
        <v>3712655</v>
      </c>
      <c r="U339" s="6">
        <v>45261</v>
      </c>
      <c r="V339" s="8">
        <v>2602694</v>
      </c>
      <c r="W339" s="8">
        <v>581650</v>
      </c>
      <c r="X339" s="8">
        <v>83970</v>
      </c>
      <c r="Y339" s="26">
        <f t="shared" si="71"/>
        <v>3268314</v>
      </c>
      <c r="Z339" s="8">
        <v>1175900</v>
      </c>
      <c r="AA339" s="8">
        <v>0</v>
      </c>
      <c r="AB339" s="8">
        <f t="shared" si="65"/>
        <v>4444214</v>
      </c>
      <c r="AD339" s="6">
        <v>45626</v>
      </c>
      <c r="AE339" s="8">
        <v>693926</v>
      </c>
      <c r="AF339" s="8">
        <v>154050</v>
      </c>
      <c r="AG339" s="8">
        <v>78910</v>
      </c>
      <c r="AH339" s="5">
        <f t="shared" si="74"/>
        <v>926886</v>
      </c>
      <c r="AI339" s="8">
        <v>590240</v>
      </c>
      <c r="AJ339" s="8"/>
      <c r="AK339" s="5">
        <f t="shared" si="79"/>
        <v>1517126</v>
      </c>
      <c r="AM339" s="6">
        <v>45992</v>
      </c>
      <c r="AN339" s="8">
        <v>0</v>
      </c>
      <c r="AO339" s="8">
        <v>0</v>
      </c>
      <c r="AP339" s="8">
        <v>712570</v>
      </c>
      <c r="AQ339" s="5">
        <f t="shared" si="72"/>
        <v>712570</v>
      </c>
      <c r="AR339" s="8">
        <v>1094660</v>
      </c>
      <c r="AS339" s="5">
        <v>279500</v>
      </c>
      <c r="AT339" s="8">
        <f t="shared" si="78"/>
        <v>1374160</v>
      </c>
      <c r="AU339" s="8">
        <v>50000</v>
      </c>
      <c r="AV339" s="5">
        <f t="shared" si="70"/>
        <v>2136730</v>
      </c>
      <c r="AX339" s="6">
        <v>46358</v>
      </c>
      <c r="BB339" s="5"/>
      <c r="BD339" s="5"/>
      <c r="BG339" s="5"/>
    </row>
    <row r="340" spans="1:59">
      <c r="A340" s="13">
        <v>44170</v>
      </c>
      <c r="B340" s="14">
        <v>4150980</v>
      </c>
      <c r="C340" s="14">
        <v>848390</v>
      </c>
      <c r="D340" s="11">
        <f t="shared" si="77"/>
        <v>4999370</v>
      </c>
      <c r="F340" s="13">
        <v>44534</v>
      </c>
      <c r="G340" s="11">
        <v>1427851</v>
      </c>
      <c r="H340" s="11">
        <v>537250</v>
      </c>
      <c r="I340" s="11">
        <v>203520</v>
      </c>
      <c r="J340" s="11">
        <v>405754</v>
      </c>
      <c r="K340" s="7">
        <f t="shared" si="75"/>
        <v>2574375</v>
      </c>
      <c r="M340" s="6">
        <v>44898</v>
      </c>
      <c r="N340" s="5">
        <v>714857</v>
      </c>
      <c r="O340" s="5">
        <v>621550</v>
      </c>
      <c r="P340" s="5">
        <v>24500</v>
      </c>
      <c r="Q340" s="5">
        <f t="shared" si="76"/>
        <v>1360907</v>
      </c>
      <c r="R340" s="5">
        <v>0</v>
      </c>
      <c r="S340" s="5">
        <f t="shared" si="73"/>
        <v>1360907</v>
      </c>
      <c r="U340" s="6">
        <v>45262</v>
      </c>
      <c r="V340" s="8">
        <v>1614676</v>
      </c>
      <c r="W340" s="8">
        <v>696810</v>
      </c>
      <c r="X340" s="8">
        <v>156730</v>
      </c>
      <c r="Y340" s="26">
        <f t="shared" si="71"/>
        <v>2468216</v>
      </c>
      <c r="Z340" s="8">
        <v>404800</v>
      </c>
      <c r="AA340" s="8">
        <v>0</v>
      </c>
      <c r="AB340" s="8">
        <f t="shared" si="65"/>
        <v>2873016</v>
      </c>
      <c r="AD340" s="6">
        <v>45627</v>
      </c>
      <c r="AE340" s="8">
        <v>1521131</v>
      </c>
      <c r="AF340" s="8">
        <v>530180</v>
      </c>
      <c r="AG340" s="8">
        <v>353580</v>
      </c>
      <c r="AH340" s="5">
        <f t="shared" si="74"/>
        <v>2404891</v>
      </c>
      <c r="AI340" s="8">
        <v>134570</v>
      </c>
      <c r="AJ340" s="8"/>
      <c r="AK340" s="5">
        <f t="shared" si="79"/>
        <v>2539461</v>
      </c>
      <c r="AM340" s="6">
        <v>45993</v>
      </c>
      <c r="AN340" s="8">
        <v>8753350</v>
      </c>
      <c r="AO340" s="8">
        <v>1617370</v>
      </c>
      <c r="AP340" s="8">
        <v>145790</v>
      </c>
      <c r="AQ340" s="5">
        <f t="shared" si="72"/>
        <v>10516510</v>
      </c>
      <c r="AR340" s="8">
        <v>1539665</v>
      </c>
      <c r="AS340" s="5">
        <v>263200</v>
      </c>
      <c r="AT340" s="8">
        <f t="shared" si="78"/>
        <v>1802865</v>
      </c>
      <c r="AU340" s="8">
        <v>103000</v>
      </c>
      <c r="AV340" s="5">
        <f t="shared" si="70"/>
        <v>12422375</v>
      </c>
      <c r="AX340" s="6">
        <v>46359</v>
      </c>
      <c r="BB340" s="5"/>
      <c r="BD340" s="5"/>
      <c r="BG340" s="5"/>
    </row>
    <row r="341" spans="1:59">
      <c r="A341" s="13">
        <v>44171</v>
      </c>
      <c r="B341" s="14">
        <v>4534859</v>
      </c>
      <c r="C341" s="14">
        <v>1375310</v>
      </c>
      <c r="D341" s="11">
        <f t="shared" si="77"/>
        <v>5910169</v>
      </c>
      <c r="F341" s="13">
        <v>44535</v>
      </c>
      <c r="G341" s="11">
        <v>1328330</v>
      </c>
      <c r="H341" s="11">
        <v>1015030</v>
      </c>
      <c r="I341" s="11">
        <v>183680</v>
      </c>
      <c r="J341" s="11">
        <v>611676</v>
      </c>
      <c r="K341" s="7">
        <f t="shared" si="75"/>
        <v>3138716</v>
      </c>
      <c r="M341" s="6">
        <v>44899</v>
      </c>
      <c r="N341" s="5">
        <v>1355439</v>
      </c>
      <c r="O341" s="5">
        <v>767410</v>
      </c>
      <c r="P341" s="5">
        <v>106000</v>
      </c>
      <c r="Q341" s="5">
        <f t="shared" si="76"/>
        <v>2228849</v>
      </c>
      <c r="R341" s="5">
        <v>157520</v>
      </c>
      <c r="S341" s="5">
        <f t="shared" si="73"/>
        <v>2386369</v>
      </c>
      <c r="U341" s="6">
        <v>45263</v>
      </c>
      <c r="V341" s="8">
        <v>1826221</v>
      </c>
      <c r="W341" s="8">
        <v>664170</v>
      </c>
      <c r="X341" s="8">
        <v>253250</v>
      </c>
      <c r="Y341" s="26">
        <f t="shared" si="71"/>
        <v>2743641</v>
      </c>
      <c r="Z341" s="8">
        <v>1206950</v>
      </c>
      <c r="AA341" s="8">
        <v>20400</v>
      </c>
      <c r="AB341" s="8">
        <f t="shared" ref="AB341:AB370" si="80">Y341+Z341+AA341</f>
        <v>3970991</v>
      </c>
      <c r="AD341" s="6">
        <v>45628</v>
      </c>
      <c r="AE341" s="8">
        <v>1660714</v>
      </c>
      <c r="AF341" s="8">
        <v>567480</v>
      </c>
      <c r="AG341" s="8">
        <v>181520</v>
      </c>
      <c r="AH341" s="5">
        <f t="shared" si="74"/>
        <v>2409714</v>
      </c>
      <c r="AI341" s="8">
        <v>494032</v>
      </c>
      <c r="AJ341" s="8"/>
      <c r="AK341" s="5">
        <f t="shared" si="79"/>
        <v>2903746</v>
      </c>
      <c r="AM341" s="6">
        <v>45994</v>
      </c>
      <c r="AN341" s="8">
        <v>5242940</v>
      </c>
      <c r="AO341" s="8">
        <v>1134420</v>
      </c>
      <c r="AP341" s="8">
        <v>290050</v>
      </c>
      <c r="AQ341" s="5">
        <f t="shared" si="72"/>
        <v>6667410</v>
      </c>
      <c r="AR341" s="8">
        <v>1377735</v>
      </c>
      <c r="AS341" s="5">
        <v>135600</v>
      </c>
      <c r="AT341" s="8">
        <f t="shared" si="78"/>
        <v>1513335</v>
      </c>
      <c r="AU341" s="8">
        <v>147000</v>
      </c>
      <c r="AV341" s="5">
        <f t="shared" si="70"/>
        <v>8327745</v>
      </c>
      <c r="AX341" s="6">
        <v>46360</v>
      </c>
      <c r="BB341" s="5"/>
      <c r="BD341" s="5"/>
      <c r="BG341" s="5"/>
    </row>
    <row r="342" spans="1:59">
      <c r="A342" s="13">
        <v>44172</v>
      </c>
      <c r="B342" s="14">
        <v>10145176</v>
      </c>
      <c r="C342" s="14">
        <v>1943550</v>
      </c>
      <c r="D342" s="11">
        <f t="shared" si="77"/>
        <v>12088726</v>
      </c>
      <c r="F342" s="13">
        <v>44536</v>
      </c>
      <c r="G342" s="11">
        <v>8522197</v>
      </c>
      <c r="H342" s="11">
        <v>1980330</v>
      </c>
      <c r="I342" s="11">
        <v>359240</v>
      </c>
      <c r="J342" s="11">
        <v>1056198</v>
      </c>
      <c r="K342" s="7">
        <f t="shared" si="75"/>
        <v>11917965</v>
      </c>
      <c r="M342" s="6">
        <v>44900</v>
      </c>
      <c r="N342" s="5">
        <v>4595758</v>
      </c>
      <c r="O342" s="5">
        <v>1513330</v>
      </c>
      <c r="P342" s="5">
        <v>115210</v>
      </c>
      <c r="Q342" s="5">
        <f t="shared" si="76"/>
        <v>6224298</v>
      </c>
      <c r="R342" s="5">
        <v>206910</v>
      </c>
      <c r="S342" s="5">
        <f t="shared" si="73"/>
        <v>6431208</v>
      </c>
      <c r="U342" s="6">
        <v>45264</v>
      </c>
      <c r="V342" s="8">
        <v>3168398</v>
      </c>
      <c r="W342" s="8">
        <v>859130</v>
      </c>
      <c r="X342" s="8">
        <v>484020</v>
      </c>
      <c r="Y342" s="26">
        <f t="shared" si="71"/>
        <v>4511548</v>
      </c>
      <c r="Z342" s="8">
        <v>1228860</v>
      </c>
      <c r="AA342" s="8">
        <v>0</v>
      </c>
      <c r="AB342" s="8">
        <f t="shared" si="80"/>
        <v>5740408</v>
      </c>
      <c r="AD342" s="6">
        <v>45629</v>
      </c>
      <c r="AE342" s="8">
        <v>2972526</v>
      </c>
      <c r="AF342" s="8">
        <v>924810</v>
      </c>
      <c r="AG342" s="8">
        <v>290760</v>
      </c>
      <c r="AH342" s="5">
        <f t="shared" si="74"/>
        <v>4188096</v>
      </c>
      <c r="AI342" s="8">
        <v>185860</v>
      </c>
      <c r="AJ342" s="8"/>
      <c r="AK342" s="5">
        <f t="shared" si="79"/>
        <v>4373956</v>
      </c>
      <c r="AM342" s="6">
        <v>45995</v>
      </c>
      <c r="AN342" s="8">
        <v>4345770</v>
      </c>
      <c r="AO342" s="8">
        <v>995460</v>
      </c>
      <c r="AP342" s="8">
        <v>365100</v>
      </c>
      <c r="AQ342" s="5">
        <f t="shared" si="72"/>
        <v>5706330</v>
      </c>
      <c r="AR342" s="8">
        <v>413635</v>
      </c>
      <c r="AS342" s="5">
        <v>277100</v>
      </c>
      <c r="AT342" s="8">
        <f t="shared" si="78"/>
        <v>690735</v>
      </c>
      <c r="AU342" s="8">
        <v>77550</v>
      </c>
      <c r="AV342" s="5">
        <f t="shared" si="70"/>
        <v>6474615</v>
      </c>
      <c r="AX342" s="6">
        <v>46361</v>
      </c>
      <c r="BB342" s="5"/>
      <c r="BD342" s="5"/>
      <c r="BG342" s="5"/>
    </row>
    <row r="343" spans="1:59">
      <c r="A343" s="13">
        <v>44173</v>
      </c>
      <c r="B343" s="14">
        <v>15455964</v>
      </c>
      <c r="C343" s="14">
        <v>1650940</v>
      </c>
      <c r="D343" s="11">
        <f t="shared" si="77"/>
        <v>17106904</v>
      </c>
      <c r="F343" s="13">
        <v>44537</v>
      </c>
      <c r="G343" s="11">
        <v>12870081</v>
      </c>
      <c r="H343" s="11">
        <v>3644540</v>
      </c>
      <c r="I343" s="11">
        <v>292610</v>
      </c>
      <c r="J343" s="11">
        <v>504287</v>
      </c>
      <c r="K343" s="7">
        <f t="shared" si="75"/>
        <v>17311518</v>
      </c>
      <c r="M343" s="6">
        <v>44901</v>
      </c>
      <c r="N343" s="5">
        <v>4669634</v>
      </c>
      <c r="O343" s="5">
        <v>2076036</v>
      </c>
      <c r="P343" s="5">
        <v>171940</v>
      </c>
      <c r="Q343" s="5">
        <f t="shared" si="76"/>
        <v>6917610</v>
      </c>
      <c r="R343" s="5">
        <v>189910</v>
      </c>
      <c r="S343" s="5">
        <f t="shared" si="73"/>
        <v>7107520</v>
      </c>
      <c r="U343" s="6">
        <v>45265</v>
      </c>
      <c r="V343" s="8">
        <v>6214710</v>
      </c>
      <c r="W343" s="8">
        <v>1576720</v>
      </c>
      <c r="X343" s="8">
        <v>195530</v>
      </c>
      <c r="Y343" s="26">
        <f>SUM(V343:X343)</f>
        <v>7986960</v>
      </c>
      <c r="Z343" s="8">
        <v>1026793</v>
      </c>
      <c r="AA343" s="8">
        <v>52300</v>
      </c>
      <c r="AB343" s="8">
        <f>Y343+Z343+AA343</f>
        <v>9066053</v>
      </c>
      <c r="AD343" s="6">
        <v>45630</v>
      </c>
      <c r="AE343" s="8">
        <v>2379624</v>
      </c>
      <c r="AF343" s="8">
        <v>808510</v>
      </c>
      <c r="AG343" s="8">
        <v>92330</v>
      </c>
      <c r="AH343" s="5">
        <f t="shared" si="74"/>
        <v>3280464</v>
      </c>
      <c r="AI343" s="8">
        <v>366470</v>
      </c>
      <c r="AJ343" s="8"/>
      <c r="AK343" s="5">
        <f t="shared" si="79"/>
        <v>3646934</v>
      </c>
      <c r="AM343" s="6">
        <v>45996</v>
      </c>
      <c r="AN343" s="8">
        <v>2770230</v>
      </c>
      <c r="AO343" s="8">
        <v>527450</v>
      </c>
      <c r="AP343" s="8">
        <v>105180</v>
      </c>
      <c r="AQ343" s="5">
        <f t="shared" si="72"/>
        <v>3402860</v>
      </c>
      <c r="AR343" s="8">
        <v>1274684</v>
      </c>
      <c r="AS343" s="5">
        <v>165500</v>
      </c>
      <c r="AT343" s="8">
        <f t="shared" si="78"/>
        <v>1440184</v>
      </c>
      <c r="AU343" s="8">
        <v>87500</v>
      </c>
      <c r="AV343" s="5">
        <f t="shared" si="70"/>
        <v>4930544</v>
      </c>
      <c r="AX343" s="6">
        <v>46362</v>
      </c>
      <c r="BB343" s="5"/>
      <c r="BD343" s="5"/>
      <c r="BG343" s="5"/>
    </row>
    <row r="344" spans="1:59">
      <c r="A344" s="13">
        <v>44174</v>
      </c>
      <c r="B344" s="14">
        <v>16318006</v>
      </c>
      <c r="C344" s="14">
        <v>1433930</v>
      </c>
      <c r="D344" s="11">
        <f t="shared" si="77"/>
        <v>17751936</v>
      </c>
      <c r="F344" s="13">
        <v>44538</v>
      </c>
      <c r="G344" s="11">
        <v>12677239</v>
      </c>
      <c r="H344" s="11">
        <v>3044810</v>
      </c>
      <c r="I344" s="11">
        <v>264200</v>
      </c>
      <c r="J344" s="11">
        <v>505974</v>
      </c>
      <c r="K344" s="7">
        <f t="shared" si="75"/>
        <v>16492223</v>
      </c>
      <c r="M344" s="6">
        <v>44902</v>
      </c>
      <c r="N344" s="5">
        <v>6002177</v>
      </c>
      <c r="O344" s="5">
        <v>1264290</v>
      </c>
      <c r="P344" s="5">
        <v>336580</v>
      </c>
      <c r="Q344" s="5">
        <f t="shared" si="76"/>
        <v>7603047</v>
      </c>
      <c r="R344" s="5">
        <v>115010</v>
      </c>
      <c r="S344" s="5">
        <f t="shared" si="73"/>
        <v>7718057</v>
      </c>
      <c r="U344" s="6">
        <v>45266</v>
      </c>
      <c r="V344" s="8">
        <v>4444054</v>
      </c>
      <c r="W344" s="8">
        <v>1643440</v>
      </c>
      <c r="X344" s="8">
        <v>181170</v>
      </c>
      <c r="Y344" s="26">
        <f>SUM(V344:X344)</f>
        <v>6268664</v>
      </c>
      <c r="Z344" s="8">
        <v>723920</v>
      </c>
      <c r="AA344" s="8">
        <v>11500</v>
      </c>
      <c r="AB344" s="8">
        <f>Y344+Z344+AA344</f>
        <v>7004084</v>
      </c>
      <c r="AD344" s="6">
        <v>45631</v>
      </c>
      <c r="AE344" s="8">
        <v>3744505</v>
      </c>
      <c r="AF344" s="8">
        <v>1561350</v>
      </c>
      <c r="AG344" s="8">
        <v>230080</v>
      </c>
      <c r="AH344" s="5">
        <f t="shared" si="74"/>
        <v>5535935</v>
      </c>
      <c r="AI344" s="8">
        <v>181600</v>
      </c>
      <c r="AJ344" s="8"/>
      <c r="AK344" s="5">
        <f t="shared" si="79"/>
        <v>5717535</v>
      </c>
      <c r="AM344" s="6">
        <v>45997</v>
      </c>
      <c r="AN344" s="8">
        <v>1538230</v>
      </c>
      <c r="AO344" s="8">
        <v>667400</v>
      </c>
      <c r="AP344" s="8">
        <v>91500</v>
      </c>
      <c r="AQ344" s="5">
        <f t="shared" si="72"/>
        <v>2297130</v>
      </c>
      <c r="AR344" s="8">
        <v>684510</v>
      </c>
      <c r="AS344" s="5">
        <v>127600</v>
      </c>
      <c r="AT344" s="8">
        <f t="shared" si="78"/>
        <v>812110</v>
      </c>
      <c r="AU344" s="8">
        <v>149760</v>
      </c>
      <c r="AV344" s="5">
        <f t="shared" ref="AV344:AV370" si="81">AQ344+AT344+AU344</f>
        <v>3259000</v>
      </c>
      <c r="AX344" s="6">
        <v>46363</v>
      </c>
      <c r="BB344" s="5"/>
      <c r="BD344" s="5"/>
      <c r="BG344" s="5"/>
    </row>
    <row r="345" spans="1:59">
      <c r="A345" s="13">
        <v>44175</v>
      </c>
      <c r="B345" s="14">
        <v>18730831</v>
      </c>
      <c r="C345" s="14">
        <v>1097950</v>
      </c>
      <c r="D345" s="11">
        <f t="shared" si="77"/>
        <v>19828781</v>
      </c>
      <c r="F345" s="13">
        <v>44539</v>
      </c>
      <c r="G345" s="11">
        <v>14409870</v>
      </c>
      <c r="H345" s="11">
        <v>3180380</v>
      </c>
      <c r="I345" s="11">
        <v>546300</v>
      </c>
      <c r="J345" s="11">
        <v>631942</v>
      </c>
      <c r="K345" s="7">
        <f t="shared" si="75"/>
        <v>18768492</v>
      </c>
      <c r="M345" s="6">
        <v>44903</v>
      </c>
      <c r="N345" s="5">
        <v>6301167</v>
      </c>
      <c r="O345" s="5">
        <v>2016940</v>
      </c>
      <c r="P345" s="5">
        <v>182250</v>
      </c>
      <c r="Q345" s="5">
        <f t="shared" si="76"/>
        <v>8500357</v>
      </c>
      <c r="R345" s="5">
        <v>44900</v>
      </c>
      <c r="S345" s="5">
        <f t="shared" si="73"/>
        <v>8545257</v>
      </c>
      <c r="U345" s="6">
        <v>45267</v>
      </c>
      <c r="V345" s="8">
        <v>8109273</v>
      </c>
      <c r="W345" s="8">
        <v>2084430</v>
      </c>
      <c r="X345" s="8">
        <v>270430</v>
      </c>
      <c r="Y345" s="26">
        <f>SUM(V345:X345)</f>
        <v>10464133</v>
      </c>
      <c r="Z345" s="8">
        <v>878230</v>
      </c>
      <c r="AA345" s="8">
        <v>0</v>
      </c>
      <c r="AB345" s="8">
        <f t="shared" si="80"/>
        <v>11342363</v>
      </c>
      <c r="AD345" s="6">
        <v>45632</v>
      </c>
      <c r="AE345" s="8">
        <v>2105676</v>
      </c>
      <c r="AF345" s="8">
        <v>480220</v>
      </c>
      <c r="AG345" s="8">
        <v>136440</v>
      </c>
      <c r="AH345" s="5">
        <f t="shared" si="74"/>
        <v>2722336</v>
      </c>
      <c r="AI345" s="8">
        <v>333920</v>
      </c>
      <c r="AJ345" s="8"/>
      <c r="AK345" s="5">
        <f t="shared" si="79"/>
        <v>3056256</v>
      </c>
      <c r="AM345" s="6">
        <v>45998</v>
      </c>
      <c r="AN345" s="8">
        <v>819202</v>
      </c>
      <c r="AO345" s="8">
        <v>349060</v>
      </c>
      <c r="AP345" s="8">
        <v>164380</v>
      </c>
      <c r="AQ345" s="5">
        <f t="shared" si="72"/>
        <v>1332642</v>
      </c>
      <c r="AR345" s="8">
        <v>2423130</v>
      </c>
      <c r="AS345" s="5">
        <v>37900</v>
      </c>
      <c r="AT345" s="8">
        <f t="shared" si="78"/>
        <v>2461030</v>
      </c>
      <c r="AU345" s="8">
        <v>42500</v>
      </c>
      <c r="AV345" s="5">
        <f t="shared" si="81"/>
        <v>3836172</v>
      </c>
      <c r="AX345" s="6">
        <v>46364</v>
      </c>
      <c r="BB345" s="5"/>
      <c r="BD345" s="5"/>
      <c r="BG345" s="5"/>
    </row>
    <row r="346" spans="1:59">
      <c r="A346" s="13">
        <v>44176</v>
      </c>
      <c r="B346" s="14">
        <v>9460619</v>
      </c>
      <c r="C346" s="14">
        <v>3901470</v>
      </c>
      <c r="D346" s="11">
        <f t="shared" si="77"/>
        <v>13362089</v>
      </c>
      <c r="F346" s="13">
        <v>44540</v>
      </c>
      <c r="G346" s="11">
        <v>13447913</v>
      </c>
      <c r="H346" s="11">
        <v>1047840</v>
      </c>
      <c r="I346" s="11">
        <v>290260</v>
      </c>
      <c r="J346" s="11">
        <v>546784</v>
      </c>
      <c r="K346" s="7">
        <f t="shared" si="75"/>
        <v>15332797</v>
      </c>
      <c r="M346" s="6">
        <v>44904</v>
      </c>
      <c r="N346" s="5">
        <v>9839915</v>
      </c>
      <c r="O346" s="5">
        <v>425880</v>
      </c>
      <c r="P346" s="5">
        <v>119400</v>
      </c>
      <c r="Q346" s="5">
        <f t="shared" si="76"/>
        <v>10385195</v>
      </c>
      <c r="R346" s="5">
        <v>86800</v>
      </c>
      <c r="S346" s="5">
        <f t="shared" si="73"/>
        <v>10471995</v>
      </c>
      <c r="U346" s="6">
        <v>45268</v>
      </c>
      <c r="V346" s="8">
        <v>12510229</v>
      </c>
      <c r="W346" s="8">
        <v>520810</v>
      </c>
      <c r="X346" s="8">
        <v>100820</v>
      </c>
      <c r="Y346" s="26">
        <f t="shared" ref="Y346:Y351" si="82">SUM(V346:X346)</f>
        <v>13131859</v>
      </c>
      <c r="Z346" s="8">
        <v>546420</v>
      </c>
      <c r="AA346" s="8">
        <v>0</v>
      </c>
      <c r="AB346" s="8">
        <f t="shared" si="80"/>
        <v>13678279</v>
      </c>
      <c r="AD346" s="6">
        <v>45633</v>
      </c>
      <c r="AE346" s="8">
        <v>980719</v>
      </c>
      <c r="AF346" s="8">
        <v>387760</v>
      </c>
      <c r="AG346" s="8">
        <v>307780</v>
      </c>
      <c r="AH346" s="5">
        <f t="shared" si="74"/>
        <v>1676259</v>
      </c>
      <c r="AI346" s="8">
        <v>112180</v>
      </c>
      <c r="AJ346" s="8"/>
      <c r="AK346" s="5">
        <f t="shared" si="79"/>
        <v>1788439</v>
      </c>
      <c r="AM346" s="6">
        <v>45999</v>
      </c>
      <c r="AN346" s="8">
        <v>14497410</v>
      </c>
      <c r="AO346" s="8">
        <v>141900</v>
      </c>
      <c r="AP346" s="8">
        <v>194540</v>
      </c>
      <c r="AQ346" s="5">
        <f t="shared" ref="AQ346:AQ370" si="83">SUM(AN346:AP346)</f>
        <v>14833850</v>
      </c>
      <c r="AR346" s="8">
        <v>275250</v>
      </c>
      <c r="AS346" s="5">
        <v>165500</v>
      </c>
      <c r="AT346" s="8">
        <f t="shared" si="78"/>
        <v>440750</v>
      </c>
      <c r="AU346" s="8">
        <v>112500</v>
      </c>
      <c r="AV346" s="5">
        <f t="shared" si="81"/>
        <v>15387100</v>
      </c>
      <c r="AX346" s="6">
        <v>46365</v>
      </c>
      <c r="BB346" s="5"/>
      <c r="BD346" s="5"/>
      <c r="BG346" s="5"/>
    </row>
    <row r="347" spans="1:59">
      <c r="A347" s="13">
        <v>44177</v>
      </c>
      <c r="B347" s="14">
        <v>3691640</v>
      </c>
      <c r="C347" s="14">
        <v>1552120</v>
      </c>
      <c r="D347" s="11">
        <f t="shared" si="77"/>
        <v>5243760</v>
      </c>
      <c r="F347" s="13">
        <v>44541</v>
      </c>
      <c r="G347" s="11">
        <v>672224</v>
      </c>
      <c r="H347" s="11">
        <v>284230</v>
      </c>
      <c r="I347" s="11">
        <v>273160</v>
      </c>
      <c r="J347" s="11">
        <v>145200</v>
      </c>
      <c r="K347" s="7">
        <f t="shared" si="75"/>
        <v>1374814</v>
      </c>
      <c r="M347" s="6">
        <v>44905</v>
      </c>
      <c r="N347" s="5">
        <v>1110723</v>
      </c>
      <c r="O347" s="5">
        <v>282290</v>
      </c>
      <c r="P347" s="5">
        <v>106970</v>
      </c>
      <c r="Q347" s="5">
        <f t="shared" si="76"/>
        <v>1499983</v>
      </c>
      <c r="R347" s="5">
        <v>44900</v>
      </c>
      <c r="S347" s="5">
        <f t="shared" si="73"/>
        <v>1544883</v>
      </c>
      <c r="U347" s="6">
        <v>45269</v>
      </c>
      <c r="V347" s="8">
        <v>537090</v>
      </c>
      <c r="W347" s="8">
        <v>405560</v>
      </c>
      <c r="X347" s="8">
        <v>81950</v>
      </c>
      <c r="Y347" s="26">
        <f t="shared" si="82"/>
        <v>1024600</v>
      </c>
      <c r="Z347" s="8">
        <v>671720</v>
      </c>
      <c r="AA347" s="8">
        <v>0</v>
      </c>
      <c r="AB347" s="8">
        <f t="shared" si="80"/>
        <v>1696320</v>
      </c>
      <c r="AD347" s="6">
        <v>45634</v>
      </c>
      <c r="AE347" s="8">
        <v>800027</v>
      </c>
      <c r="AF347" s="8">
        <v>307530</v>
      </c>
      <c r="AG347" s="8">
        <v>133520</v>
      </c>
      <c r="AH347" s="5">
        <f t="shared" si="74"/>
        <v>1241077</v>
      </c>
      <c r="AI347" s="8">
        <v>455860</v>
      </c>
      <c r="AJ347" s="8"/>
      <c r="AK347" s="5">
        <f t="shared" si="79"/>
        <v>1696937</v>
      </c>
      <c r="AM347" s="6">
        <v>46000</v>
      </c>
      <c r="AN347" s="8">
        <v>15259230</v>
      </c>
      <c r="AO347" s="8">
        <v>235200</v>
      </c>
      <c r="AP347" s="8">
        <v>348300</v>
      </c>
      <c r="AQ347" s="5">
        <f t="shared" si="83"/>
        <v>15842730</v>
      </c>
      <c r="AR347" s="8">
        <v>395400</v>
      </c>
      <c r="AS347" s="5">
        <v>192780</v>
      </c>
      <c r="AT347" s="8">
        <f t="shared" si="78"/>
        <v>588180</v>
      </c>
      <c r="AU347" s="8">
        <v>190780</v>
      </c>
      <c r="AV347" s="5">
        <f t="shared" si="81"/>
        <v>16621690</v>
      </c>
      <c r="AX347" s="6">
        <v>46366</v>
      </c>
      <c r="BB347" s="5"/>
      <c r="BD347" s="5"/>
      <c r="BG347" s="5"/>
    </row>
    <row r="348" spans="1:59">
      <c r="A348" s="13">
        <v>44178</v>
      </c>
      <c r="B348" s="14">
        <v>4279930</v>
      </c>
      <c r="C348" s="14">
        <v>1929230</v>
      </c>
      <c r="D348" s="11">
        <f t="shared" si="77"/>
        <v>6209160</v>
      </c>
      <c r="F348" s="13">
        <v>44542</v>
      </c>
      <c r="G348" s="11">
        <v>878635</v>
      </c>
      <c r="H348" s="11">
        <v>702790</v>
      </c>
      <c r="I348" s="11">
        <v>221950</v>
      </c>
      <c r="J348" s="11">
        <v>525864</v>
      </c>
      <c r="K348" s="7">
        <f t="shared" si="75"/>
        <v>2329239</v>
      </c>
      <c r="M348" s="6">
        <v>44906</v>
      </c>
      <c r="N348" s="5">
        <v>648777</v>
      </c>
      <c r="O348" s="5">
        <v>654620</v>
      </c>
      <c r="P348" s="5">
        <v>60930</v>
      </c>
      <c r="Q348" s="5">
        <f t="shared" si="76"/>
        <v>1364327</v>
      </c>
      <c r="R348" s="5">
        <v>14900</v>
      </c>
      <c r="S348" s="5">
        <f t="shared" si="73"/>
        <v>1379227</v>
      </c>
      <c r="U348" s="6">
        <v>45270</v>
      </c>
      <c r="V348" s="8">
        <v>886288</v>
      </c>
      <c r="W348" s="8">
        <v>311010</v>
      </c>
      <c r="X348" s="8">
        <v>102930</v>
      </c>
      <c r="Y348" s="26">
        <f t="shared" si="82"/>
        <v>1300228</v>
      </c>
      <c r="Z348" s="8">
        <v>864130</v>
      </c>
      <c r="AA348" s="8">
        <v>0</v>
      </c>
      <c r="AB348" s="8">
        <f t="shared" si="80"/>
        <v>2164358</v>
      </c>
      <c r="AD348" s="6">
        <v>45635</v>
      </c>
      <c r="AE348" s="8">
        <v>14308390</v>
      </c>
      <c r="AF348" s="8">
        <v>118750</v>
      </c>
      <c r="AG348" s="8">
        <v>420780</v>
      </c>
      <c r="AH348" s="5">
        <f t="shared" si="74"/>
        <v>14847920</v>
      </c>
      <c r="AI348" s="8">
        <v>224530</v>
      </c>
      <c r="AJ348" s="8"/>
      <c r="AK348" s="5">
        <f t="shared" si="79"/>
        <v>15072450</v>
      </c>
      <c r="AM348" s="6">
        <v>46001</v>
      </c>
      <c r="AN348" s="8">
        <v>15659900</v>
      </c>
      <c r="AO348" s="8">
        <v>509420</v>
      </c>
      <c r="AP348" s="8">
        <v>288840</v>
      </c>
      <c r="AQ348" s="5">
        <f t="shared" si="83"/>
        <v>16458160</v>
      </c>
      <c r="AR348" s="8">
        <v>368270</v>
      </c>
      <c r="AS348" s="5">
        <v>162700</v>
      </c>
      <c r="AT348" s="8">
        <f t="shared" si="78"/>
        <v>530970</v>
      </c>
      <c r="AU348" s="8">
        <v>112500</v>
      </c>
      <c r="AV348" s="5">
        <f t="shared" si="81"/>
        <v>17101630</v>
      </c>
      <c r="AX348" s="6">
        <v>46367</v>
      </c>
      <c r="BB348" s="5"/>
      <c r="BD348" s="5"/>
      <c r="BG348" s="5"/>
    </row>
    <row r="349" spans="1:59">
      <c r="A349" s="13">
        <v>44179</v>
      </c>
      <c r="B349" s="14">
        <v>8337538</v>
      </c>
      <c r="C349" s="14">
        <v>3752510</v>
      </c>
      <c r="D349" s="11">
        <f t="shared" si="77"/>
        <v>12090048</v>
      </c>
      <c r="F349" s="13">
        <v>44543</v>
      </c>
      <c r="G349" s="11">
        <v>14471856</v>
      </c>
      <c r="H349" s="11">
        <v>787710</v>
      </c>
      <c r="I349" s="11">
        <v>144800</v>
      </c>
      <c r="J349" s="11">
        <v>948847</v>
      </c>
      <c r="K349" s="7">
        <f t="shared" si="75"/>
        <v>16353213</v>
      </c>
      <c r="M349" s="6">
        <v>44907</v>
      </c>
      <c r="N349" s="5">
        <v>11768297</v>
      </c>
      <c r="O349" s="5">
        <v>942980</v>
      </c>
      <c r="P349" s="5">
        <v>110630</v>
      </c>
      <c r="Q349" s="5">
        <f t="shared" si="76"/>
        <v>12821907</v>
      </c>
      <c r="R349" s="5">
        <v>118600</v>
      </c>
      <c r="S349" s="5">
        <f t="shared" si="73"/>
        <v>12940507</v>
      </c>
      <c r="U349" s="6">
        <v>45271</v>
      </c>
      <c r="V349" s="8">
        <v>12719761</v>
      </c>
      <c r="W349" s="8">
        <v>1065320</v>
      </c>
      <c r="X349" s="8">
        <v>340570</v>
      </c>
      <c r="Y349" s="26">
        <f t="shared" si="82"/>
        <v>14125651</v>
      </c>
      <c r="Z349" s="8">
        <v>753480</v>
      </c>
      <c r="AA349" s="8">
        <v>0</v>
      </c>
      <c r="AB349" s="8">
        <f t="shared" si="80"/>
        <v>14879131</v>
      </c>
      <c r="AD349" s="6">
        <v>45636</v>
      </c>
      <c r="AE349" s="8">
        <v>17570277</v>
      </c>
      <c r="AF349" s="8">
        <v>0</v>
      </c>
      <c r="AG349" s="8">
        <v>445650</v>
      </c>
      <c r="AH349" s="5">
        <f t="shared" si="74"/>
        <v>18015927</v>
      </c>
      <c r="AI349" s="8">
        <v>399150</v>
      </c>
      <c r="AJ349" s="8"/>
      <c r="AK349" s="5">
        <f t="shared" si="79"/>
        <v>18415077</v>
      </c>
      <c r="AM349" s="6">
        <v>46002</v>
      </c>
      <c r="AN349" s="8">
        <v>15592870</v>
      </c>
      <c r="AO349" s="8">
        <v>135400</v>
      </c>
      <c r="AP349" s="8">
        <v>179180</v>
      </c>
      <c r="AQ349" s="5">
        <f t="shared" si="83"/>
        <v>15907450</v>
      </c>
      <c r="AR349" s="8">
        <v>1068535</v>
      </c>
      <c r="AS349" s="5">
        <v>100300</v>
      </c>
      <c r="AT349" s="8">
        <f t="shared" si="78"/>
        <v>1168835</v>
      </c>
      <c r="AU349" s="8">
        <v>153030</v>
      </c>
      <c r="AV349" s="5">
        <f t="shared" si="81"/>
        <v>17229315</v>
      </c>
      <c r="AX349" s="6">
        <v>46368</v>
      </c>
      <c r="BB349" s="5"/>
      <c r="BD349" s="5"/>
      <c r="BG349" s="5"/>
    </row>
    <row r="350" spans="1:59">
      <c r="A350" s="13">
        <v>44180</v>
      </c>
      <c r="B350" s="14">
        <v>15526209</v>
      </c>
      <c r="C350" s="14">
        <v>2100370</v>
      </c>
      <c r="D350" s="11">
        <f t="shared" si="77"/>
        <v>17626579</v>
      </c>
      <c r="F350" s="13">
        <v>44544</v>
      </c>
      <c r="G350" s="11">
        <v>15578390</v>
      </c>
      <c r="H350" s="11">
        <v>1189920</v>
      </c>
      <c r="I350" s="11">
        <v>388860</v>
      </c>
      <c r="J350" s="11">
        <v>239900</v>
      </c>
      <c r="K350" s="7">
        <f t="shared" si="75"/>
        <v>17397070</v>
      </c>
      <c r="M350" s="6">
        <v>44908</v>
      </c>
      <c r="N350" s="5">
        <v>11595816</v>
      </c>
      <c r="O350" s="5">
        <v>750840</v>
      </c>
      <c r="P350" s="5">
        <v>102090</v>
      </c>
      <c r="Q350" s="5">
        <f t="shared" si="76"/>
        <v>12448746</v>
      </c>
      <c r="R350" s="5">
        <v>89800</v>
      </c>
      <c r="S350" s="5">
        <f t="shared" si="73"/>
        <v>12538546</v>
      </c>
      <c r="U350" s="6">
        <v>45272</v>
      </c>
      <c r="V350" s="8">
        <v>14864347</v>
      </c>
      <c r="W350" s="8">
        <v>325590</v>
      </c>
      <c r="X350" s="8">
        <v>184100</v>
      </c>
      <c r="Y350" s="26">
        <f t="shared" si="82"/>
        <v>15374037</v>
      </c>
      <c r="Z350" s="8">
        <v>756140</v>
      </c>
      <c r="AA350" s="8">
        <v>0</v>
      </c>
      <c r="AB350" s="8">
        <f t="shared" si="80"/>
        <v>16130177</v>
      </c>
      <c r="AD350" s="6">
        <v>45637</v>
      </c>
      <c r="AE350" s="8">
        <v>16595555</v>
      </c>
      <c r="AF350" s="8">
        <v>0</v>
      </c>
      <c r="AG350" s="8">
        <v>417320</v>
      </c>
      <c r="AH350" s="5">
        <f t="shared" si="74"/>
        <v>17012875</v>
      </c>
      <c r="AI350" s="8">
        <v>650400</v>
      </c>
      <c r="AJ350" s="8"/>
      <c r="AK350" s="5">
        <f t="shared" si="79"/>
        <v>17663275</v>
      </c>
      <c r="AM350" s="6">
        <v>46003</v>
      </c>
      <c r="AN350" s="8">
        <v>16803880</v>
      </c>
      <c r="AO350" s="8">
        <v>194600</v>
      </c>
      <c r="AP350" s="8">
        <v>141160</v>
      </c>
      <c r="AQ350" s="5">
        <f t="shared" si="83"/>
        <v>17139640</v>
      </c>
      <c r="AR350" s="8">
        <v>391920</v>
      </c>
      <c r="AS350" s="5">
        <v>97700</v>
      </c>
      <c r="AT350" s="8">
        <f t="shared" si="78"/>
        <v>489620</v>
      </c>
      <c r="AU350" s="8">
        <v>25000</v>
      </c>
      <c r="AV350" s="5">
        <f t="shared" si="81"/>
        <v>17654260</v>
      </c>
      <c r="AX350" s="6">
        <v>46369</v>
      </c>
      <c r="BB350" s="5"/>
      <c r="BD350" s="5"/>
      <c r="BG350" s="5"/>
    </row>
    <row r="351" spans="1:59">
      <c r="A351" s="13">
        <v>44181</v>
      </c>
      <c r="B351" s="14">
        <v>15350500</v>
      </c>
      <c r="C351" s="14">
        <v>1874480</v>
      </c>
      <c r="D351" s="11">
        <f t="shared" si="77"/>
        <v>17224980</v>
      </c>
      <c r="F351" s="13">
        <v>44545</v>
      </c>
      <c r="G351" s="11">
        <v>14406345</v>
      </c>
      <c r="H351" s="11">
        <v>1043040</v>
      </c>
      <c r="I351" s="11">
        <v>266700</v>
      </c>
      <c r="J351" s="11">
        <v>691606</v>
      </c>
      <c r="K351" s="7">
        <f t="shared" si="75"/>
        <v>16407691</v>
      </c>
      <c r="M351" s="6">
        <v>44909</v>
      </c>
      <c r="N351" s="5">
        <v>11514563</v>
      </c>
      <c r="O351" s="5">
        <v>876850</v>
      </c>
      <c r="P351" s="5">
        <v>268830</v>
      </c>
      <c r="Q351" s="5">
        <f t="shared" si="76"/>
        <v>12660243</v>
      </c>
      <c r="R351" s="5">
        <v>330000</v>
      </c>
      <c r="S351" s="5">
        <f t="shared" si="73"/>
        <v>12990243</v>
      </c>
      <c r="U351" s="6">
        <v>45273</v>
      </c>
      <c r="V351" s="8">
        <v>14578728</v>
      </c>
      <c r="W351" s="8">
        <v>894040</v>
      </c>
      <c r="X351" s="8">
        <v>81800</v>
      </c>
      <c r="Y351" s="26">
        <f t="shared" si="82"/>
        <v>15554568</v>
      </c>
      <c r="Z351" s="8">
        <v>780640</v>
      </c>
      <c r="AA351" s="8">
        <v>16500</v>
      </c>
      <c r="AB351" s="8">
        <f t="shared" si="80"/>
        <v>16351708</v>
      </c>
      <c r="AD351" s="6">
        <v>45638</v>
      </c>
      <c r="AE351" s="8">
        <v>17202045</v>
      </c>
      <c r="AF351" s="8">
        <v>0</v>
      </c>
      <c r="AG351" s="8">
        <v>268140</v>
      </c>
      <c r="AH351" s="5">
        <f t="shared" si="74"/>
        <v>17470185</v>
      </c>
      <c r="AI351" s="8">
        <v>590840</v>
      </c>
      <c r="AJ351" s="8"/>
      <c r="AK351" s="5">
        <f t="shared" si="79"/>
        <v>18061025</v>
      </c>
      <c r="AM351" s="6">
        <v>46004</v>
      </c>
      <c r="AN351" s="8">
        <v>0</v>
      </c>
      <c r="AO351" s="8">
        <v>0</v>
      </c>
      <c r="AP351" s="8">
        <v>151140</v>
      </c>
      <c r="AQ351" s="5">
        <f t="shared" si="83"/>
        <v>151140</v>
      </c>
      <c r="AR351" s="8">
        <v>258980</v>
      </c>
      <c r="AS351" s="5">
        <v>16300</v>
      </c>
      <c r="AT351" s="8">
        <f t="shared" si="78"/>
        <v>275280</v>
      </c>
      <c r="AU351" s="8">
        <v>28350</v>
      </c>
      <c r="AV351" s="5">
        <f t="shared" si="81"/>
        <v>454770</v>
      </c>
      <c r="AX351" s="6">
        <v>46370</v>
      </c>
      <c r="BB351" s="5"/>
      <c r="BD351" s="5"/>
      <c r="BG351" s="5"/>
    </row>
    <row r="352" spans="1:59">
      <c r="A352" s="13">
        <v>44182</v>
      </c>
      <c r="B352" s="14">
        <v>13380048</v>
      </c>
      <c r="C352" s="14">
        <v>1738990</v>
      </c>
      <c r="D352" s="11">
        <f t="shared" si="77"/>
        <v>15119038</v>
      </c>
      <c r="F352" s="13">
        <v>44546</v>
      </c>
      <c r="G352" s="11">
        <v>16106422</v>
      </c>
      <c r="H352" s="11">
        <v>873700</v>
      </c>
      <c r="I352" s="11">
        <v>138200</v>
      </c>
      <c r="J352" s="11">
        <v>484896</v>
      </c>
      <c r="K352" s="7">
        <f t="shared" si="75"/>
        <v>17603218</v>
      </c>
      <c r="M352" s="6">
        <v>44910</v>
      </c>
      <c r="N352" s="5">
        <v>12780670</v>
      </c>
      <c r="O352" s="5">
        <v>650550</v>
      </c>
      <c r="P352" s="5">
        <v>98300</v>
      </c>
      <c r="Q352" s="5">
        <f t="shared" si="76"/>
        <v>13529520</v>
      </c>
      <c r="R352" s="5">
        <v>89600</v>
      </c>
      <c r="S352" s="5">
        <f t="shared" si="73"/>
        <v>13619120</v>
      </c>
      <c r="U352" s="6">
        <v>45274</v>
      </c>
      <c r="V352" s="8">
        <v>16429014</v>
      </c>
      <c r="W352" s="8">
        <v>619050</v>
      </c>
      <c r="X352" s="8">
        <v>51520</v>
      </c>
      <c r="Y352" s="26">
        <f>SUM(V352:X352)</f>
        <v>17099584</v>
      </c>
      <c r="Z352" s="8">
        <v>187000</v>
      </c>
      <c r="AA352" s="8">
        <v>0</v>
      </c>
      <c r="AB352" s="8">
        <f>Y352+Z352+AA352</f>
        <v>17286584</v>
      </c>
      <c r="AD352" s="6">
        <v>45639</v>
      </c>
      <c r="AE352" s="8">
        <v>15527357</v>
      </c>
      <c r="AF352" s="8">
        <v>0</v>
      </c>
      <c r="AG352" s="8">
        <v>163920</v>
      </c>
      <c r="AH352" s="5">
        <f t="shared" si="74"/>
        <v>15691277</v>
      </c>
      <c r="AI352" s="8">
        <v>780730</v>
      </c>
      <c r="AJ352" s="8"/>
      <c r="AK352" s="5">
        <f t="shared" si="79"/>
        <v>16472007</v>
      </c>
      <c r="AM352" s="6">
        <v>46005</v>
      </c>
      <c r="AN352" s="8">
        <v>0</v>
      </c>
      <c r="AO352" s="8">
        <v>0</v>
      </c>
      <c r="AP352" s="8">
        <v>209470</v>
      </c>
      <c r="AQ352" s="5">
        <f t="shared" si="83"/>
        <v>209470</v>
      </c>
      <c r="AR352" s="8">
        <v>516865</v>
      </c>
      <c r="AS352" s="5">
        <v>122200</v>
      </c>
      <c r="AT352" s="8">
        <f t="shared" si="78"/>
        <v>639065</v>
      </c>
      <c r="AU352" s="8">
        <v>41000</v>
      </c>
      <c r="AV352" s="5">
        <f t="shared" si="81"/>
        <v>889535</v>
      </c>
      <c r="AX352" s="6">
        <v>46371</v>
      </c>
      <c r="BB352" s="5"/>
      <c r="BD352" s="5"/>
      <c r="BG352" s="5"/>
    </row>
    <row r="353" spans="1:59">
      <c r="A353" s="13">
        <v>44183</v>
      </c>
      <c r="B353" s="14">
        <v>11502838</v>
      </c>
      <c r="C353" s="14">
        <v>926230</v>
      </c>
      <c r="D353" s="11">
        <f t="shared" si="77"/>
        <v>12429068</v>
      </c>
      <c r="F353" s="13">
        <v>44547</v>
      </c>
      <c r="G353" s="11">
        <v>14934977</v>
      </c>
      <c r="H353" s="11">
        <v>1239200</v>
      </c>
      <c r="I353" s="11">
        <v>289910</v>
      </c>
      <c r="J353" s="11">
        <v>375876</v>
      </c>
      <c r="K353" s="7">
        <f t="shared" si="75"/>
        <v>16839963</v>
      </c>
      <c r="M353" s="6">
        <v>44911</v>
      </c>
      <c r="N353" s="5">
        <v>14572362</v>
      </c>
      <c r="O353" s="5">
        <v>645880</v>
      </c>
      <c r="P353" s="5">
        <v>258330</v>
      </c>
      <c r="Q353" s="5">
        <f t="shared" si="76"/>
        <v>15476572</v>
      </c>
      <c r="R353" s="5">
        <v>104300</v>
      </c>
      <c r="S353" s="5">
        <f t="shared" si="73"/>
        <v>15580872</v>
      </c>
      <c r="U353" s="6">
        <v>45275</v>
      </c>
      <c r="V353" s="8">
        <v>18269591</v>
      </c>
      <c r="W353" s="8">
        <v>197330</v>
      </c>
      <c r="X353" s="8">
        <v>167670</v>
      </c>
      <c r="Y353" s="26">
        <f t="shared" ref="Y353:Y369" si="84">SUM(V353:X353)</f>
        <v>18634591</v>
      </c>
      <c r="Z353" s="8">
        <v>328160</v>
      </c>
      <c r="AA353" s="8">
        <v>16500</v>
      </c>
      <c r="AB353" s="8">
        <f>Y353+Z353+AA353</f>
        <v>18979251</v>
      </c>
      <c r="AD353" s="6">
        <v>45640</v>
      </c>
      <c r="AE353" s="8">
        <v>2280868</v>
      </c>
      <c r="AF353" s="8">
        <v>0</v>
      </c>
      <c r="AG353" s="8">
        <v>130650</v>
      </c>
      <c r="AH353" s="5">
        <f t="shared" si="74"/>
        <v>2411518</v>
      </c>
      <c r="AI353" s="8">
        <v>265890</v>
      </c>
      <c r="AJ353" s="8"/>
      <c r="AK353" s="5">
        <f t="shared" si="79"/>
        <v>2677408</v>
      </c>
      <c r="AM353" s="6">
        <v>46006</v>
      </c>
      <c r="AN353" s="8">
        <v>14425900</v>
      </c>
      <c r="AO353" s="8">
        <v>395000</v>
      </c>
      <c r="AP353" s="8">
        <v>566700</v>
      </c>
      <c r="AQ353" s="5">
        <f t="shared" si="83"/>
        <v>15387600</v>
      </c>
      <c r="AR353" s="8">
        <v>3335015</v>
      </c>
      <c r="AS353" s="5">
        <v>127600</v>
      </c>
      <c r="AT353" s="8">
        <f t="shared" si="78"/>
        <v>3462615</v>
      </c>
      <c r="AU353" s="8">
        <v>287060</v>
      </c>
      <c r="AV353" s="5">
        <f t="shared" si="81"/>
        <v>19137275</v>
      </c>
      <c r="AX353" s="6">
        <v>46372</v>
      </c>
      <c r="BB353" s="5"/>
      <c r="BD353" s="5"/>
      <c r="BG353" s="5"/>
    </row>
    <row r="354" spans="1:59">
      <c r="A354" s="13">
        <v>44184</v>
      </c>
      <c r="B354" s="14">
        <v>1496191</v>
      </c>
      <c r="C354" s="14">
        <v>643170</v>
      </c>
      <c r="D354" s="11">
        <f t="shared" si="77"/>
        <v>2139361</v>
      </c>
      <c r="F354" s="13">
        <v>44548</v>
      </c>
      <c r="G354" s="11">
        <v>428282</v>
      </c>
      <c r="H354" s="11">
        <v>375940</v>
      </c>
      <c r="I354" s="11">
        <v>16900</v>
      </c>
      <c r="J354" s="11">
        <v>176284</v>
      </c>
      <c r="K354" s="7">
        <f t="shared" si="75"/>
        <v>997406</v>
      </c>
      <c r="M354" s="6">
        <v>44912</v>
      </c>
      <c r="N354" s="5">
        <v>246718</v>
      </c>
      <c r="O354" s="5">
        <v>356670</v>
      </c>
      <c r="P354" s="5">
        <v>145090</v>
      </c>
      <c r="Q354" s="5">
        <f t="shared" si="76"/>
        <v>748478</v>
      </c>
      <c r="R354" s="5">
        <v>0</v>
      </c>
      <c r="S354" s="5">
        <f t="shared" si="73"/>
        <v>748478</v>
      </c>
      <c r="U354" s="6">
        <v>45276</v>
      </c>
      <c r="V354" s="8">
        <v>898084</v>
      </c>
      <c r="W354" s="8">
        <v>392950</v>
      </c>
      <c r="X354" s="8">
        <v>142730</v>
      </c>
      <c r="Y354" s="26">
        <f t="shared" si="84"/>
        <v>1433764</v>
      </c>
      <c r="Z354" s="8">
        <v>371680</v>
      </c>
      <c r="AA354" s="8">
        <v>0</v>
      </c>
      <c r="AB354" s="8">
        <f t="shared" si="80"/>
        <v>1805444</v>
      </c>
      <c r="AD354" s="6">
        <v>45641</v>
      </c>
      <c r="AE354" s="8">
        <v>1830549</v>
      </c>
      <c r="AF354" s="8">
        <v>0</v>
      </c>
      <c r="AG354" s="8">
        <v>186330</v>
      </c>
      <c r="AH354" s="5">
        <f t="shared" si="74"/>
        <v>2016879</v>
      </c>
      <c r="AI354" s="8">
        <v>223630</v>
      </c>
      <c r="AJ354" s="8"/>
      <c r="AK354" s="5">
        <f t="shared" si="79"/>
        <v>2240509</v>
      </c>
      <c r="AM354" s="6">
        <v>46007</v>
      </c>
      <c r="AN354" s="8">
        <v>18312010</v>
      </c>
      <c r="AO354" s="8">
        <v>677780</v>
      </c>
      <c r="AP354" s="8">
        <v>305430</v>
      </c>
      <c r="AQ354" s="5">
        <f t="shared" si="83"/>
        <v>19295220</v>
      </c>
      <c r="AR354" s="8">
        <v>2568115</v>
      </c>
      <c r="AS354" s="5">
        <v>534560</v>
      </c>
      <c r="AT354" s="8">
        <f t="shared" si="78"/>
        <v>3102675</v>
      </c>
      <c r="AU354" s="8">
        <v>135560</v>
      </c>
      <c r="AV354" s="5">
        <f t="shared" si="81"/>
        <v>22533455</v>
      </c>
      <c r="AX354" s="6">
        <v>46373</v>
      </c>
      <c r="BB354" s="5"/>
      <c r="BD354" s="5"/>
      <c r="BG354" s="5"/>
    </row>
    <row r="355" spans="1:59">
      <c r="A355" s="13">
        <v>44185</v>
      </c>
      <c r="B355" s="14">
        <v>1451853</v>
      </c>
      <c r="C355" s="14">
        <v>673700</v>
      </c>
      <c r="D355" s="11">
        <f t="shared" si="77"/>
        <v>2125553</v>
      </c>
      <c r="F355" s="13">
        <v>44549</v>
      </c>
      <c r="G355" s="11"/>
      <c r="H355" s="11"/>
      <c r="I355" s="11"/>
      <c r="J355" s="11">
        <v>240442</v>
      </c>
      <c r="K355" s="7">
        <f t="shared" si="75"/>
        <v>240442</v>
      </c>
      <c r="M355" s="6">
        <v>44913</v>
      </c>
      <c r="N355" s="5">
        <v>740304</v>
      </c>
      <c r="O355" s="5">
        <v>732350</v>
      </c>
      <c r="P355" s="5">
        <v>119920</v>
      </c>
      <c r="Q355" s="5">
        <f t="shared" si="76"/>
        <v>1592574</v>
      </c>
      <c r="R355" s="5">
        <v>56600</v>
      </c>
      <c r="S355" s="5">
        <f t="shared" si="73"/>
        <v>1649174</v>
      </c>
      <c r="U355" s="6">
        <v>45277</v>
      </c>
      <c r="V355" s="8">
        <v>514486</v>
      </c>
      <c r="W355" s="8">
        <v>590630</v>
      </c>
      <c r="X355" s="8">
        <v>83560</v>
      </c>
      <c r="Y355" s="26">
        <f t="shared" si="84"/>
        <v>1188676</v>
      </c>
      <c r="Z355" s="8">
        <v>635470</v>
      </c>
      <c r="AA355" s="8">
        <v>16500</v>
      </c>
      <c r="AB355" s="8">
        <f t="shared" si="80"/>
        <v>1840646</v>
      </c>
      <c r="AD355" s="6">
        <v>45642</v>
      </c>
      <c r="AE355" s="8">
        <v>18677596</v>
      </c>
      <c r="AF355" s="8">
        <v>0</v>
      </c>
      <c r="AG355" s="8">
        <v>259520</v>
      </c>
      <c r="AH355" s="5">
        <f t="shared" si="74"/>
        <v>18937116</v>
      </c>
      <c r="AI355" s="8">
        <v>3285540</v>
      </c>
      <c r="AJ355" s="8"/>
      <c r="AK355" s="5">
        <f t="shared" si="79"/>
        <v>22222656</v>
      </c>
      <c r="AM355" s="6">
        <v>46008</v>
      </c>
      <c r="AN355" s="8">
        <v>18866490</v>
      </c>
      <c r="AO355" s="8">
        <v>849060</v>
      </c>
      <c r="AP355" s="8">
        <v>283600</v>
      </c>
      <c r="AQ355" s="5">
        <f t="shared" si="83"/>
        <v>19999150</v>
      </c>
      <c r="AR355" s="8">
        <v>2440520</v>
      </c>
      <c r="AS355" s="5">
        <v>219400</v>
      </c>
      <c r="AT355" s="8">
        <f t="shared" si="78"/>
        <v>2659920</v>
      </c>
      <c r="AU355" s="8">
        <v>97560</v>
      </c>
      <c r="AV355" s="5">
        <f t="shared" si="81"/>
        <v>22756630</v>
      </c>
      <c r="AX355" s="6">
        <v>46374</v>
      </c>
      <c r="BB355" s="5"/>
      <c r="BD355" s="5"/>
      <c r="BG355" s="5"/>
    </row>
    <row r="356" spans="1:59">
      <c r="A356" s="13">
        <v>44186</v>
      </c>
      <c r="B356" s="14">
        <v>13159373</v>
      </c>
      <c r="C356" s="14">
        <v>1471030</v>
      </c>
      <c r="D356" s="11">
        <f t="shared" si="77"/>
        <v>14630403</v>
      </c>
      <c r="F356" s="13">
        <v>44550</v>
      </c>
      <c r="G356" s="11">
        <v>15253255</v>
      </c>
      <c r="H356" s="11">
        <v>1615070</v>
      </c>
      <c r="I356" s="11">
        <v>156980</v>
      </c>
      <c r="J356" s="11">
        <v>539896</v>
      </c>
      <c r="K356" s="7">
        <f t="shared" si="75"/>
        <v>17565201</v>
      </c>
      <c r="M356" s="6">
        <v>44914</v>
      </c>
      <c r="N356" s="5">
        <v>14539126</v>
      </c>
      <c r="O356" s="5">
        <v>880230</v>
      </c>
      <c r="P356" s="5">
        <v>220600</v>
      </c>
      <c r="Q356" s="5">
        <f t="shared" si="76"/>
        <v>15639956</v>
      </c>
      <c r="R356" s="5">
        <v>0</v>
      </c>
      <c r="S356" s="5">
        <f t="shared" ref="S356:S378" si="85">Q356+R356</f>
        <v>15639956</v>
      </c>
      <c r="U356" s="6">
        <v>45278</v>
      </c>
      <c r="V356" s="8">
        <v>13452997</v>
      </c>
      <c r="W356" s="8">
        <v>578720</v>
      </c>
      <c r="X356" s="8">
        <v>106510</v>
      </c>
      <c r="Y356" s="26">
        <f t="shared" si="84"/>
        <v>14138227</v>
      </c>
      <c r="Z356" s="8">
        <v>1368320</v>
      </c>
      <c r="AA356" s="8">
        <v>15500</v>
      </c>
      <c r="AB356" s="8">
        <f t="shared" si="80"/>
        <v>15522047</v>
      </c>
      <c r="AD356" s="6">
        <v>45643</v>
      </c>
      <c r="AE356" s="8">
        <v>18240098</v>
      </c>
      <c r="AF356" s="8">
        <v>0</v>
      </c>
      <c r="AG356" s="8">
        <v>284060</v>
      </c>
      <c r="AH356" s="5">
        <f t="shared" si="74"/>
        <v>18524158</v>
      </c>
      <c r="AI356" s="8">
        <v>1308980</v>
      </c>
      <c r="AJ356" s="8"/>
      <c r="AK356" s="5">
        <f t="shared" si="79"/>
        <v>19833138</v>
      </c>
      <c r="AM356" s="6">
        <v>46009</v>
      </c>
      <c r="AN356" s="8">
        <v>17478100</v>
      </c>
      <c r="AO356" s="8">
        <v>604380</v>
      </c>
      <c r="AP356" s="8">
        <v>31800</v>
      </c>
      <c r="AQ356" s="5">
        <f t="shared" si="83"/>
        <v>18114280</v>
      </c>
      <c r="AR356" s="8">
        <v>1331845</v>
      </c>
      <c r="AS356" s="5">
        <v>70800</v>
      </c>
      <c r="AT356" s="8">
        <f t="shared" si="78"/>
        <v>1402645</v>
      </c>
      <c r="AU356" s="8">
        <v>119520</v>
      </c>
      <c r="AV356" s="5">
        <f t="shared" si="81"/>
        <v>19636445</v>
      </c>
      <c r="AX356" s="6">
        <v>46375</v>
      </c>
      <c r="BB356" s="5"/>
      <c r="BD356" s="5"/>
      <c r="BG356" s="5"/>
    </row>
    <row r="357" spans="1:59">
      <c r="A357" s="13">
        <v>44187</v>
      </c>
      <c r="B357" s="14">
        <v>16642106</v>
      </c>
      <c r="C357" s="14">
        <v>1670730</v>
      </c>
      <c r="D357" s="11">
        <f t="shared" si="77"/>
        <v>18312836</v>
      </c>
      <c r="F357" s="13">
        <v>44551</v>
      </c>
      <c r="G357" s="11">
        <v>16062071</v>
      </c>
      <c r="H357" s="11">
        <v>980990</v>
      </c>
      <c r="I357" s="11">
        <v>246420</v>
      </c>
      <c r="J357" s="11">
        <v>476392</v>
      </c>
      <c r="K357" s="7">
        <f t="shared" si="75"/>
        <v>17765873</v>
      </c>
      <c r="M357" s="6">
        <v>44915</v>
      </c>
      <c r="N357" s="5">
        <v>16154881</v>
      </c>
      <c r="O357" s="5">
        <v>863840</v>
      </c>
      <c r="P357" s="5">
        <v>111650</v>
      </c>
      <c r="Q357" s="5">
        <f t="shared" si="76"/>
        <v>17130371</v>
      </c>
      <c r="R357" s="5">
        <v>71500</v>
      </c>
      <c r="S357" s="5">
        <f t="shared" si="85"/>
        <v>17201871</v>
      </c>
      <c r="U357" s="6">
        <v>45279</v>
      </c>
      <c r="V357" s="8">
        <v>13614390</v>
      </c>
      <c r="W357" s="8">
        <v>533850</v>
      </c>
      <c r="X357" s="8">
        <v>136060</v>
      </c>
      <c r="Y357" s="26">
        <f t="shared" si="84"/>
        <v>14284300</v>
      </c>
      <c r="Z357" s="8">
        <v>816700</v>
      </c>
      <c r="AA357" s="8">
        <v>20400</v>
      </c>
      <c r="AB357" s="8">
        <f t="shared" si="80"/>
        <v>15121400</v>
      </c>
      <c r="AD357" s="6">
        <v>45644</v>
      </c>
      <c r="AE357" s="8">
        <v>16092041</v>
      </c>
      <c r="AF357" s="8">
        <v>0</v>
      </c>
      <c r="AG357" s="8">
        <v>361280</v>
      </c>
      <c r="AH357" s="5">
        <f t="shared" si="74"/>
        <v>16453321</v>
      </c>
      <c r="AI357" s="8">
        <v>1500650</v>
      </c>
      <c r="AJ357" s="8"/>
      <c r="AK357" s="5">
        <f t="shared" si="79"/>
        <v>17953971</v>
      </c>
      <c r="AM357" s="6">
        <v>46010</v>
      </c>
      <c r="AN357" s="8">
        <v>18605370</v>
      </c>
      <c r="AO357" s="8">
        <v>254530</v>
      </c>
      <c r="AP357" s="8">
        <v>238170</v>
      </c>
      <c r="AQ357" s="5">
        <f t="shared" si="83"/>
        <v>19098070</v>
      </c>
      <c r="AR357" s="8">
        <v>755885</v>
      </c>
      <c r="AS357" s="5">
        <v>32900</v>
      </c>
      <c r="AT357" s="8">
        <f t="shared" si="78"/>
        <v>788785</v>
      </c>
      <c r="AU357" s="8">
        <v>25000</v>
      </c>
      <c r="AV357" s="5">
        <f t="shared" si="81"/>
        <v>19911855</v>
      </c>
      <c r="AX357" s="6">
        <v>46376</v>
      </c>
      <c r="BB357" s="5"/>
      <c r="BD357" s="5"/>
      <c r="BG357" s="5"/>
    </row>
    <row r="358" spans="1:59">
      <c r="A358" s="13">
        <v>44188</v>
      </c>
      <c r="B358" s="14">
        <v>13434731</v>
      </c>
      <c r="C358" s="14">
        <v>1137970</v>
      </c>
      <c r="D358" s="11">
        <f t="shared" si="77"/>
        <v>14572701</v>
      </c>
      <c r="F358" s="13">
        <v>44552</v>
      </c>
      <c r="G358" s="11">
        <v>15543000</v>
      </c>
      <c r="H358" s="11">
        <v>1688520</v>
      </c>
      <c r="I358" s="11">
        <v>465030</v>
      </c>
      <c r="J358" s="11">
        <v>352530</v>
      </c>
      <c r="K358" s="7">
        <f t="shared" si="75"/>
        <v>18049080</v>
      </c>
      <c r="M358" s="6">
        <v>44916</v>
      </c>
      <c r="N358" s="5">
        <v>15751811</v>
      </c>
      <c r="O358" s="5">
        <v>716400</v>
      </c>
      <c r="P358" s="5">
        <v>113620</v>
      </c>
      <c r="Q358" s="5">
        <f t="shared" si="76"/>
        <v>16581831</v>
      </c>
      <c r="R358" s="5">
        <v>59600</v>
      </c>
      <c r="S358" s="5">
        <f t="shared" si="85"/>
        <v>16641431</v>
      </c>
      <c r="U358" s="6">
        <v>45280</v>
      </c>
      <c r="V358" s="8">
        <v>15664528</v>
      </c>
      <c r="W358" s="8">
        <v>524860</v>
      </c>
      <c r="X358" s="8">
        <v>125570</v>
      </c>
      <c r="Y358" s="26">
        <f t="shared" si="84"/>
        <v>16314958</v>
      </c>
      <c r="Z358" s="8">
        <v>1341120</v>
      </c>
      <c r="AA358" s="8">
        <v>0</v>
      </c>
      <c r="AB358" s="8">
        <f t="shared" si="80"/>
        <v>17656078</v>
      </c>
      <c r="AD358" s="6">
        <v>45645</v>
      </c>
      <c r="AE358" s="8">
        <v>14793761</v>
      </c>
      <c r="AF358" s="8">
        <v>0</v>
      </c>
      <c r="AG358" s="8">
        <v>318150</v>
      </c>
      <c r="AH358" s="5">
        <f t="shared" si="74"/>
        <v>15111911</v>
      </c>
      <c r="AI358" s="8">
        <v>885480</v>
      </c>
      <c r="AJ358" s="8"/>
      <c r="AK358" s="5">
        <f t="shared" si="79"/>
        <v>15997391</v>
      </c>
      <c r="AM358" s="6">
        <v>46011</v>
      </c>
      <c r="AN358" s="8">
        <v>0</v>
      </c>
      <c r="AO358" s="8">
        <v>0</v>
      </c>
      <c r="AP358" s="8">
        <v>167700</v>
      </c>
      <c r="AQ358" s="5">
        <f t="shared" si="83"/>
        <v>167700</v>
      </c>
      <c r="AR358" s="8">
        <v>167210</v>
      </c>
      <c r="AS358" s="5">
        <v>127600</v>
      </c>
      <c r="AT358" s="8">
        <f t="shared" si="78"/>
        <v>294810</v>
      </c>
      <c r="AU358" s="8">
        <v>90550</v>
      </c>
      <c r="AV358" s="5">
        <f t="shared" si="81"/>
        <v>553060</v>
      </c>
      <c r="AX358" s="6">
        <v>46377</v>
      </c>
      <c r="BB358" s="5"/>
      <c r="BD358" s="5"/>
      <c r="BG358" s="5"/>
    </row>
    <row r="359" spans="1:59">
      <c r="A359" s="13">
        <v>44189</v>
      </c>
      <c r="B359" s="14">
        <v>13078942</v>
      </c>
      <c r="C359" s="14">
        <v>742250</v>
      </c>
      <c r="D359" s="11">
        <f t="shared" si="77"/>
        <v>13821192</v>
      </c>
      <c r="F359" s="13">
        <v>44553</v>
      </c>
      <c r="G359" s="11">
        <v>13823151</v>
      </c>
      <c r="H359" s="11">
        <v>686590</v>
      </c>
      <c r="I359" s="11">
        <v>498210</v>
      </c>
      <c r="J359" s="11">
        <v>169842</v>
      </c>
      <c r="K359" s="7">
        <f t="shared" si="75"/>
        <v>15177793</v>
      </c>
      <c r="M359" s="6">
        <v>44917</v>
      </c>
      <c r="N359" s="5">
        <v>11415736</v>
      </c>
      <c r="O359" s="5">
        <v>373680</v>
      </c>
      <c r="P359" s="5">
        <v>353920</v>
      </c>
      <c r="Q359" s="5">
        <f t="shared" si="76"/>
        <v>12143336</v>
      </c>
      <c r="R359" s="5">
        <v>85400</v>
      </c>
      <c r="S359" s="5">
        <f t="shared" si="85"/>
        <v>12228736</v>
      </c>
      <c r="U359" s="6">
        <v>45281</v>
      </c>
      <c r="V359" s="8">
        <v>16600966</v>
      </c>
      <c r="W359" s="8">
        <v>577520</v>
      </c>
      <c r="X359" s="8">
        <v>82310</v>
      </c>
      <c r="Y359" s="26">
        <f t="shared" si="84"/>
        <v>17260796</v>
      </c>
      <c r="Z359" s="8">
        <v>1126640</v>
      </c>
      <c r="AA359" s="8">
        <v>0</v>
      </c>
      <c r="AB359" s="8">
        <f t="shared" si="80"/>
        <v>18387436</v>
      </c>
      <c r="AD359" s="6">
        <v>45646</v>
      </c>
      <c r="AE359" s="8">
        <v>16036620</v>
      </c>
      <c r="AF359" s="8">
        <v>0</v>
      </c>
      <c r="AG359" s="8">
        <v>109430</v>
      </c>
      <c r="AH359" s="5">
        <f t="shared" si="74"/>
        <v>16146050</v>
      </c>
      <c r="AI359" s="8">
        <v>777910</v>
      </c>
      <c r="AJ359" s="8"/>
      <c r="AK359" s="5">
        <f t="shared" si="79"/>
        <v>16923960</v>
      </c>
      <c r="AM359" s="6">
        <v>46012</v>
      </c>
      <c r="AN359" s="8">
        <v>0</v>
      </c>
      <c r="AO359" s="8">
        <v>0</v>
      </c>
      <c r="AP359" s="8">
        <v>136550</v>
      </c>
      <c r="AQ359" s="5">
        <f t="shared" si="83"/>
        <v>136550</v>
      </c>
      <c r="AR359" s="8">
        <v>797455</v>
      </c>
      <c r="AS359" s="5">
        <v>0</v>
      </c>
      <c r="AT359" s="8">
        <f t="shared" si="78"/>
        <v>797455</v>
      </c>
      <c r="AU359" s="8">
        <v>25000</v>
      </c>
      <c r="AV359" s="5">
        <f t="shared" si="81"/>
        <v>959005</v>
      </c>
      <c r="AX359" s="6">
        <v>46378</v>
      </c>
      <c r="BB359" s="5"/>
      <c r="BD359" s="5"/>
      <c r="BG359" s="5"/>
    </row>
    <row r="360" spans="1:59">
      <c r="A360" s="13">
        <v>44190</v>
      </c>
      <c r="B360" s="14">
        <v>947113</v>
      </c>
      <c r="C360" s="14">
        <v>449150</v>
      </c>
      <c r="D360" s="11">
        <f t="shared" si="77"/>
        <v>1396263</v>
      </c>
      <c r="F360" s="13">
        <v>44554</v>
      </c>
      <c r="G360" s="11">
        <v>693469</v>
      </c>
      <c r="H360" s="11">
        <v>361140</v>
      </c>
      <c r="I360" s="11">
        <v>114690</v>
      </c>
      <c r="J360" s="11">
        <v>224284</v>
      </c>
      <c r="K360" s="7">
        <f t="shared" si="75"/>
        <v>1393583</v>
      </c>
      <c r="M360" s="6">
        <v>44918</v>
      </c>
      <c r="N360" s="5">
        <v>15315868</v>
      </c>
      <c r="O360" s="5">
        <v>290960</v>
      </c>
      <c r="P360" s="5">
        <v>48200</v>
      </c>
      <c r="Q360" s="5">
        <f t="shared" si="76"/>
        <v>15655028</v>
      </c>
      <c r="R360" s="5">
        <v>29800</v>
      </c>
      <c r="S360" s="5">
        <f t="shared" si="85"/>
        <v>15684828</v>
      </c>
      <c r="U360" s="6">
        <v>45282</v>
      </c>
      <c r="V360" s="8">
        <v>10688042</v>
      </c>
      <c r="W360" s="8">
        <v>448650</v>
      </c>
      <c r="X360" s="8">
        <v>147590</v>
      </c>
      <c r="Y360" s="26">
        <f t="shared" si="84"/>
        <v>11284282</v>
      </c>
      <c r="Z360" s="8">
        <v>941810</v>
      </c>
      <c r="AA360" s="8">
        <v>0</v>
      </c>
      <c r="AB360" s="8">
        <f t="shared" si="80"/>
        <v>12226092</v>
      </c>
      <c r="AD360" s="6">
        <v>45647</v>
      </c>
      <c r="AE360" s="8">
        <v>1443788</v>
      </c>
      <c r="AF360" s="8">
        <v>0</v>
      </c>
      <c r="AG360" s="8">
        <v>110600</v>
      </c>
      <c r="AH360" s="5">
        <f t="shared" si="74"/>
        <v>1554388</v>
      </c>
      <c r="AI360" s="8">
        <v>430540</v>
      </c>
      <c r="AJ360" s="8"/>
      <c r="AK360" s="5">
        <f t="shared" si="79"/>
        <v>1984928</v>
      </c>
      <c r="AM360" s="6">
        <v>46013</v>
      </c>
      <c r="AN360" s="8">
        <v>15717500</v>
      </c>
      <c r="AO360" s="8">
        <v>842000</v>
      </c>
      <c r="AP360" s="8">
        <v>234130</v>
      </c>
      <c r="AQ360" s="5">
        <f t="shared" si="83"/>
        <v>16793630</v>
      </c>
      <c r="AR360" s="8">
        <v>1347465</v>
      </c>
      <c r="AS360" s="5">
        <v>67800</v>
      </c>
      <c r="AT360" s="8">
        <f t="shared" si="78"/>
        <v>1415265</v>
      </c>
      <c r="AU360" s="8">
        <v>63500</v>
      </c>
      <c r="AV360" s="5">
        <f t="shared" si="81"/>
        <v>18272395</v>
      </c>
      <c r="AX360" s="6">
        <v>46379</v>
      </c>
      <c r="BB360" s="5"/>
      <c r="BD360" s="5"/>
      <c r="BG360" s="5"/>
    </row>
    <row r="361" spans="1:59">
      <c r="A361" s="13">
        <v>44191</v>
      </c>
      <c r="B361" s="14">
        <v>1556311</v>
      </c>
      <c r="C361" s="14">
        <v>763180</v>
      </c>
      <c r="D361" s="11">
        <f t="shared" si="77"/>
        <v>2319491</v>
      </c>
      <c r="F361" s="13">
        <v>44555</v>
      </c>
      <c r="G361" s="11"/>
      <c r="H361" s="11">
        <v>31500</v>
      </c>
      <c r="I361" s="11"/>
      <c r="J361" s="11">
        <v>116022</v>
      </c>
      <c r="K361" s="7">
        <f t="shared" si="75"/>
        <v>147522</v>
      </c>
      <c r="M361" s="6">
        <v>44919</v>
      </c>
      <c r="N361" s="5">
        <v>262543</v>
      </c>
      <c r="O361" s="5">
        <v>247150</v>
      </c>
      <c r="P361" s="5">
        <v>155630</v>
      </c>
      <c r="Q361" s="5">
        <f t="shared" si="76"/>
        <v>665323</v>
      </c>
      <c r="R361" s="5">
        <v>26410</v>
      </c>
      <c r="S361" s="5">
        <f t="shared" si="85"/>
        <v>691733</v>
      </c>
      <c r="U361" s="6">
        <v>45283</v>
      </c>
      <c r="V361" s="8">
        <v>3607786</v>
      </c>
      <c r="W361" s="8">
        <v>156350</v>
      </c>
      <c r="X361" s="8">
        <v>12800</v>
      </c>
      <c r="Y361" s="26">
        <f t="shared" si="84"/>
        <v>3776936</v>
      </c>
      <c r="Z361" s="8">
        <v>335780</v>
      </c>
      <c r="AA361" s="8">
        <v>0</v>
      </c>
      <c r="AB361" s="8">
        <f t="shared" si="80"/>
        <v>4112716</v>
      </c>
      <c r="AD361" s="6">
        <v>45648</v>
      </c>
      <c r="AE361" s="8">
        <v>1499851</v>
      </c>
      <c r="AF361" s="8">
        <v>0</v>
      </c>
      <c r="AG361" s="8">
        <v>325190</v>
      </c>
      <c r="AH361" s="5">
        <f t="shared" si="74"/>
        <v>1825041</v>
      </c>
      <c r="AI361" s="8">
        <v>734050</v>
      </c>
      <c r="AJ361" s="8"/>
      <c r="AK361" s="5">
        <f t="shared" si="79"/>
        <v>2559091</v>
      </c>
      <c r="AM361" s="6">
        <v>46014</v>
      </c>
      <c r="AN361" s="8">
        <v>15970830</v>
      </c>
      <c r="AO361" s="8">
        <v>384120</v>
      </c>
      <c r="AP361" s="8">
        <v>292010</v>
      </c>
      <c r="AQ361" s="5">
        <f t="shared" si="83"/>
        <v>16646960</v>
      </c>
      <c r="AR361" s="8">
        <v>1610835</v>
      </c>
      <c r="AS361" s="5">
        <v>168500</v>
      </c>
      <c r="AT361" s="8">
        <f t="shared" si="78"/>
        <v>1779335</v>
      </c>
      <c r="AU361" s="8">
        <v>215820</v>
      </c>
      <c r="AV361" s="5">
        <f t="shared" si="81"/>
        <v>18642115</v>
      </c>
      <c r="AX361" s="6">
        <v>46380</v>
      </c>
      <c r="BB361" s="5"/>
      <c r="BD361" s="5"/>
      <c r="BG361" s="5"/>
    </row>
    <row r="362" spans="1:59">
      <c r="A362" s="13">
        <v>44192</v>
      </c>
      <c r="B362" s="14">
        <v>1739869</v>
      </c>
      <c r="C362" s="14">
        <v>1017260</v>
      </c>
      <c r="D362" s="11">
        <f t="shared" si="77"/>
        <v>2757129</v>
      </c>
      <c r="F362" s="13">
        <v>44556</v>
      </c>
      <c r="G362" s="11">
        <v>1361089</v>
      </c>
      <c r="H362" s="11">
        <v>810010</v>
      </c>
      <c r="I362" s="11">
        <v>311300</v>
      </c>
      <c r="J362" s="11">
        <v>187100</v>
      </c>
      <c r="K362" s="7">
        <f t="shared" si="75"/>
        <v>2669499</v>
      </c>
      <c r="M362" s="6">
        <v>44920</v>
      </c>
      <c r="N362" s="5">
        <v>869010</v>
      </c>
      <c r="O362" s="5">
        <v>376620</v>
      </c>
      <c r="P362" s="5">
        <v>77510</v>
      </c>
      <c r="Q362" s="5">
        <f t="shared" si="76"/>
        <v>1323140</v>
      </c>
      <c r="R362" s="5">
        <v>94930</v>
      </c>
      <c r="S362" s="5">
        <f t="shared" si="85"/>
        <v>1418070</v>
      </c>
      <c r="U362" s="6">
        <v>45284</v>
      </c>
      <c r="V362" s="8">
        <v>1567975</v>
      </c>
      <c r="W362" s="8">
        <v>120370</v>
      </c>
      <c r="X362" s="8">
        <v>35400</v>
      </c>
      <c r="Y362" s="26">
        <f t="shared" si="84"/>
        <v>1723745</v>
      </c>
      <c r="Z362" s="8">
        <v>184400</v>
      </c>
      <c r="AA362" s="8">
        <v>0</v>
      </c>
      <c r="AB362" s="8">
        <f t="shared" si="80"/>
        <v>1908145</v>
      </c>
      <c r="AD362" s="6">
        <v>45649</v>
      </c>
      <c r="AE362" s="8">
        <v>16392262</v>
      </c>
      <c r="AF362" s="8">
        <v>0</v>
      </c>
      <c r="AG362" s="8">
        <v>92110</v>
      </c>
      <c r="AH362" s="5">
        <f t="shared" ref="AH362:AH387" si="86">SUM(AE362:AG362)</f>
        <v>16484372</v>
      </c>
      <c r="AI362" s="8">
        <v>1272560</v>
      </c>
      <c r="AJ362" s="8"/>
      <c r="AK362" s="5">
        <f t="shared" si="79"/>
        <v>17756932</v>
      </c>
      <c r="AM362" s="6">
        <v>46015</v>
      </c>
      <c r="AN362" s="8">
        <v>16274650</v>
      </c>
      <c r="AO362" s="8">
        <v>637220</v>
      </c>
      <c r="AP362" s="8">
        <v>393590</v>
      </c>
      <c r="AQ362" s="5">
        <f t="shared" si="83"/>
        <v>17305460</v>
      </c>
      <c r="AR362" s="8">
        <v>678265</v>
      </c>
      <c r="AS362" s="5">
        <v>247560</v>
      </c>
      <c r="AT362" s="8">
        <f t="shared" si="78"/>
        <v>925825</v>
      </c>
      <c r="AU362" s="8">
        <v>191000</v>
      </c>
      <c r="AV362" s="5">
        <f t="shared" si="81"/>
        <v>18422285</v>
      </c>
      <c r="AX362" s="6">
        <v>46381</v>
      </c>
      <c r="BB362" s="5"/>
      <c r="BD362" s="5"/>
      <c r="BG362" s="5"/>
    </row>
    <row r="363" spans="1:59">
      <c r="A363" s="13">
        <v>44193</v>
      </c>
      <c r="B363" s="14">
        <v>14370565</v>
      </c>
      <c r="C363" s="14">
        <v>1373560</v>
      </c>
      <c r="D363" s="11">
        <f t="shared" si="77"/>
        <v>15744125</v>
      </c>
      <c r="F363" s="13">
        <v>44557</v>
      </c>
      <c r="G363" s="11">
        <v>14925422</v>
      </c>
      <c r="H363" s="11">
        <v>455200</v>
      </c>
      <c r="I363" s="11">
        <v>324830</v>
      </c>
      <c r="J363" s="11">
        <v>266400</v>
      </c>
      <c r="K363" s="7">
        <f t="shared" si="75"/>
        <v>15971852</v>
      </c>
      <c r="M363" s="6">
        <v>44921</v>
      </c>
      <c r="N363" s="5">
        <v>16524512</v>
      </c>
      <c r="O363" s="5">
        <v>603020</v>
      </c>
      <c r="P363" s="5">
        <v>293760</v>
      </c>
      <c r="Q363" s="5">
        <f t="shared" si="76"/>
        <v>17421292</v>
      </c>
      <c r="R363" s="5">
        <v>0</v>
      </c>
      <c r="S363" s="5">
        <f t="shared" si="85"/>
        <v>17421292</v>
      </c>
      <c r="U363" s="6">
        <v>45285</v>
      </c>
      <c r="V363" s="8">
        <v>2990466</v>
      </c>
      <c r="W363" s="8">
        <v>305520</v>
      </c>
      <c r="X363" s="8">
        <v>120020</v>
      </c>
      <c r="Y363" s="26">
        <f t="shared" si="84"/>
        <v>3416006</v>
      </c>
      <c r="Z363" s="8">
        <v>747030</v>
      </c>
      <c r="AA363" s="8">
        <v>0</v>
      </c>
      <c r="AB363" s="8">
        <f t="shared" si="80"/>
        <v>4163036</v>
      </c>
      <c r="AD363" s="6">
        <v>45650</v>
      </c>
      <c r="AE363" s="8">
        <v>16262017</v>
      </c>
      <c r="AF363" s="8">
        <v>0</v>
      </c>
      <c r="AG363" s="8">
        <v>113130</v>
      </c>
      <c r="AH363" s="5">
        <f t="shared" si="86"/>
        <v>16375147</v>
      </c>
      <c r="AI363" s="8">
        <v>869020</v>
      </c>
      <c r="AJ363" s="8"/>
      <c r="AK363" s="5">
        <f t="shared" si="79"/>
        <v>17244167</v>
      </c>
      <c r="AM363" s="6">
        <v>46016</v>
      </c>
      <c r="AN363" s="8">
        <v>531660</v>
      </c>
      <c r="AO363" s="8">
        <v>94040</v>
      </c>
      <c r="AP363" s="8">
        <v>98500</v>
      </c>
      <c r="AQ363" s="5">
        <f t="shared" si="83"/>
        <v>724200</v>
      </c>
      <c r="AR363" s="8">
        <v>819085</v>
      </c>
      <c r="AS363" s="5">
        <v>105700</v>
      </c>
      <c r="AT363" s="8">
        <f t="shared" si="78"/>
        <v>924785</v>
      </c>
      <c r="AU363" s="8">
        <v>125000</v>
      </c>
      <c r="AV363" s="5">
        <f t="shared" si="81"/>
        <v>1773985</v>
      </c>
      <c r="AX363" s="6">
        <v>46382</v>
      </c>
      <c r="BB363" s="5"/>
      <c r="BD363" s="5"/>
      <c r="BG363" s="5"/>
    </row>
    <row r="364" spans="1:59">
      <c r="A364" s="13">
        <v>44194</v>
      </c>
      <c r="B364" s="14">
        <v>18007317</v>
      </c>
      <c r="C364" s="14">
        <v>875530</v>
      </c>
      <c r="D364" s="11">
        <f t="shared" si="77"/>
        <v>18882847</v>
      </c>
      <c r="F364" s="13">
        <v>44558</v>
      </c>
      <c r="G364" s="11">
        <v>15817339</v>
      </c>
      <c r="H364" s="11">
        <v>1079250</v>
      </c>
      <c r="I364" s="11">
        <v>279040</v>
      </c>
      <c r="J364" s="11">
        <v>925181</v>
      </c>
      <c r="K364" s="7">
        <f t="shared" si="75"/>
        <v>18100810</v>
      </c>
      <c r="M364" s="6">
        <v>44922</v>
      </c>
      <c r="N364" s="5">
        <v>14453444</v>
      </c>
      <c r="O364" s="5">
        <v>565650</v>
      </c>
      <c r="P364" s="5">
        <v>134130</v>
      </c>
      <c r="Q364" s="5">
        <f t="shared" si="76"/>
        <v>15153224</v>
      </c>
      <c r="R364" s="5">
        <v>40310</v>
      </c>
      <c r="S364" s="5">
        <f t="shared" si="85"/>
        <v>15193534</v>
      </c>
      <c r="U364" s="6">
        <v>45286</v>
      </c>
      <c r="V364" s="8">
        <v>11474408</v>
      </c>
      <c r="W364" s="8">
        <v>484730</v>
      </c>
      <c r="X364" s="8">
        <v>83600</v>
      </c>
      <c r="Y364" s="26">
        <f t="shared" si="84"/>
        <v>12042738</v>
      </c>
      <c r="Z364" s="8">
        <v>963810</v>
      </c>
      <c r="AA364" s="8">
        <v>0</v>
      </c>
      <c r="AB364" s="8">
        <f t="shared" si="80"/>
        <v>13006548</v>
      </c>
      <c r="AD364" s="6">
        <v>45651</v>
      </c>
      <c r="AE364" s="8">
        <v>1500550</v>
      </c>
      <c r="AF364" s="8">
        <v>0</v>
      </c>
      <c r="AG364" s="8">
        <v>124400</v>
      </c>
      <c r="AH364" s="5">
        <f t="shared" si="86"/>
        <v>1624950</v>
      </c>
      <c r="AI364" s="8">
        <v>989990</v>
      </c>
      <c r="AJ364" s="8"/>
      <c r="AK364" s="5">
        <f t="shared" si="79"/>
        <v>2614940</v>
      </c>
      <c r="AM364" s="6">
        <v>46017</v>
      </c>
      <c r="AN364" s="8">
        <v>15018210</v>
      </c>
      <c r="AO364" s="8">
        <v>550330</v>
      </c>
      <c r="AP364" s="8">
        <v>248330</v>
      </c>
      <c r="AQ364" s="5">
        <f t="shared" si="83"/>
        <v>15816870</v>
      </c>
      <c r="AR364" s="8">
        <v>1060480</v>
      </c>
      <c r="AS364" s="5">
        <v>138600</v>
      </c>
      <c r="AT364" s="8">
        <f t="shared" si="78"/>
        <v>1199080</v>
      </c>
      <c r="AU364" s="8">
        <v>60170</v>
      </c>
      <c r="AV364" s="5">
        <f t="shared" si="81"/>
        <v>17076120</v>
      </c>
      <c r="AX364" s="6">
        <v>46383</v>
      </c>
      <c r="BB364" s="5"/>
      <c r="BD364" s="5"/>
      <c r="BG364" s="5"/>
    </row>
    <row r="365" spans="1:59">
      <c r="A365" s="13">
        <v>44195</v>
      </c>
      <c r="B365" s="14">
        <v>6213282</v>
      </c>
      <c r="C365" s="14">
        <v>1344400</v>
      </c>
      <c r="D365" s="11">
        <f t="shared" si="77"/>
        <v>7557682</v>
      </c>
      <c r="F365" s="13">
        <v>44559</v>
      </c>
      <c r="G365" s="11">
        <v>16652345</v>
      </c>
      <c r="H365" s="11">
        <v>1149910</v>
      </c>
      <c r="I365" s="11">
        <v>228730</v>
      </c>
      <c r="J365" s="11">
        <v>477954</v>
      </c>
      <c r="K365" s="7">
        <f t="shared" si="75"/>
        <v>18508939</v>
      </c>
      <c r="M365" s="6">
        <v>44923</v>
      </c>
      <c r="N365" s="5">
        <v>16359848</v>
      </c>
      <c r="O365" s="5">
        <v>397190</v>
      </c>
      <c r="P365" s="5">
        <v>96560</v>
      </c>
      <c r="Q365" s="5">
        <f t="shared" si="76"/>
        <v>16853598</v>
      </c>
      <c r="R365" s="5">
        <v>28800</v>
      </c>
      <c r="S365" s="5">
        <f t="shared" si="85"/>
        <v>16882398</v>
      </c>
      <c r="U365" s="6">
        <v>45287</v>
      </c>
      <c r="V365" s="8">
        <v>16366880</v>
      </c>
      <c r="W365" s="8">
        <v>542150</v>
      </c>
      <c r="X365" s="8">
        <v>38640</v>
      </c>
      <c r="Y365" s="26">
        <f t="shared" si="84"/>
        <v>16947670</v>
      </c>
      <c r="Z365" s="8">
        <v>644519</v>
      </c>
      <c r="AA365" s="8">
        <v>0</v>
      </c>
      <c r="AB365" s="8">
        <f t="shared" si="80"/>
        <v>17592189</v>
      </c>
      <c r="AD365" s="6">
        <v>45652</v>
      </c>
      <c r="AE365" s="8">
        <v>18316959</v>
      </c>
      <c r="AF365" s="8">
        <v>0</v>
      </c>
      <c r="AG365" s="8">
        <v>349140</v>
      </c>
      <c r="AH365" s="5">
        <f t="shared" si="86"/>
        <v>18666099</v>
      </c>
      <c r="AI365" s="8">
        <v>869760</v>
      </c>
      <c r="AJ365" s="8"/>
      <c r="AK365" s="5">
        <f t="shared" si="79"/>
        <v>19535859</v>
      </c>
      <c r="AM365" s="6">
        <v>46018</v>
      </c>
      <c r="AN365" s="8">
        <v>0</v>
      </c>
      <c r="AO365" s="8">
        <v>0</v>
      </c>
      <c r="AP365" s="8">
        <v>255850</v>
      </c>
      <c r="AQ365" s="5">
        <f t="shared" si="83"/>
        <v>255850</v>
      </c>
      <c r="AR365" s="8">
        <v>955765</v>
      </c>
      <c r="AS365" s="5">
        <v>233300</v>
      </c>
      <c r="AT365" s="8">
        <f t="shared" si="78"/>
        <v>1189065</v>
      </c>
      <c r="AU365" s="8">
        <v>75000</v>
      </c>
      <c r="AV365" s="5">
        <f t="shared" si="81"/>
        <v>1519915</v>
      </c>
      <c r="AX365" s="6">
        <v>46384</v>
      </c>
      <c r="BB365" s="5"/>
      <c r="BD365" s="5"/>
      <c r="BG365" s="5"/>
    </row>
    <row r="366" spans="1:59">
      <c r="A366" s="13">
        <v>44196</v>
      </c>
      <c r="B366" s="14">
        <v>11978493</v>
      </c>
      <c r="C366" s="14">
        <v>1593410</v>
      </c>
      <c r="D366" s="11">
        <f t="shared" si="77"/>
        <v>13571903</v>
      </c>
      <c r="F366" s="13">
        <v>44560</v>
      </c>
      <c r="G366" s="11">
        <v>3845254</v>
      </c>
      <c r="H366" s="11">
        <v>1599230</v>
      </c>
      <c r="I366" s="11">
        <v>188800</v>
      </c>
      <c r="J366" s="11">
        <v>1685640</v>
      </c>
      <c r="K366" s="7">
        <f t="shared" si="75"/>
        <v>7318924</v>
      </c>
      <c r="M366" s="6">
        <v>44924</v>
      </c>
      <c r="N366" s="5">
        <v>11497395</v>
      </c>
      <c r="O366" s="5">
        <v>694650</v>
      </c>
      <c r="P366" s="5">
        <v>216760</v>
      </c>
      <c r="Q366" s="5">
        <f t="shared" si="76"/>
        <v>12408805</v>
      </c>
      <c r="R366" s="5">
        <v>27360</v>
      </c>
      <c r="S366" s="5">
        <f t="shared" si="85"/>
        <v>12436165</v>
      </c>
      <c r="U366" s="6">
        <v>45288</v>
      </c>
      <c r="V366" s="8">
        <v>15317702</v>
      </c>
      <c r="W366" s="8">
        <v>351930</v>
      </c>
      <c r="X366" s="28">
        <v>68070</v>
      </c>
      <c r="Y366" s="26">
        <f t="shared" si="84"/>
        <v>15737702</v>
      </c>
      <c r="Z366" s="8">
        <v>1080446</v>
      </c>
      <c r="AA366" s="8">
        <v>0</v>
      </c>
      <c r="AB366" s="8">
        <f t="shared" si="80"/>
        <v>16818148</v>
      </c>
      <c r="AD366" s="6">
        <v>45653</v>
      </c>
      <c r="AE366" s="8">
        <v>16708452</v>
      </c>
      <c r="AF366" s="8">
        <v>0</v>
      </c>
      <c r="AG366" s="28">
        <v>183500</v>
      </c>
      <c r="AH366" s="5">
        <f t="shared" si="86"/>
        <v>16891952</v>
      </c>
      <c r="AI366" s="8">
        <v>1680780</v>
      </c>
      <c r="AJ366" s="8"/>
      <c r="AK366" s="5">
        <f t="shared" si="79"/>
        <v>18572732</v>
      </c>
      <c r="AM366" s="6">
        <v>46019</v>
      </c>
      <c r="AN366" s="8">
        <v>0</v>
      </c>
      <c r="AO366" s="8">
        <v>0</v>
      </c>
      <c r="AP366" s="28">
        <v>0</v>
      </c>
      <c r="AQ366" s="5">
        <f t="shared" si="83"/>
        <v>0</v>
      </c>
      <c r="AR366" s="8">
        <v>1471420</v>
      </c>
      <c r="AS366" s="5">
        <v>127600</v>
      </c>
      <c r="AT366" s="8">
        <f t="shared" si="78"/>
        <v>1599020</v>
      </c>
      <c r="AU366" s="8">
        <v>132000</v>
      </c>
      <c r="AV366" s="5">
        <f t="shared" si="81"/>
        <v>1731020</v>
      </c>
      <c r="AX366" s="6">
        <v>46385</v>
      </c>
      <c r="BA366" s="28"/>
      <c r="BB366" s="5"/>
      <c r="BD366" s="5"/>
      <c r="BG366" s="5"/>
    </row>
    <row r="367" spans="1:59">
      <c r="F367" s="13">
        <v>44561</v>
      </c>
      <c r="G367" s="11">
        <v>2129246</v>
      </c>
      <c r="H367" s="11">
        <v>456910</v>
      </c>
      <c r="I367" s="11">
        <v>165200</v>
      </c>
      <c r="J367" s="11">
        <v>451700</v>
      </c>
      <c r="K367" s="7">
        <f t="shared" si="75"/>
        <v>3203056</v>
      </c>
      <c r="M367" s="6">
        <v>44925</v>
      </c>
      <c r="N367" s="5">
        <v>612350</v>
      </c>
      <c r="O367" s="5">
        <v>318100</v>
      </c>
      <c r="P367" s="5">
        <v>106550</v>
      </c>
      <c r="Q367" s="5">
        <f t="shared" si="76"/>
        <v>1037000</v>
      </c>
      <c r="R367" s="5">
        <v>43700</v>
      </c>
      <c r="S367" s="5">
        <f t="shared" si="85"/>
        <v>1080700</v>
      </c>
      <c r="U367" s="6">
        <v>45289</v>
      </c>
      <c r="V367" s="8">
        <v>17902324</v>
      </c>
      <c r="W367" s="8">
        <v>591840</v>
      </c>
      <c r="X367" s="8">
        <v>63700</v>
      </c>
      <c r="Y367" s="26">
        <f t="shared" si="84"/>
        <v>18557864</v>
      </c>
      <c r="Z367" s="8">
        <v>441010</v>
      </c>
      <c r="AA367" s="8">
        <v>20400</v>
      </c>
      <c r="AB367" s="8">
        <f t="shared" si="80"/>
        <v>19019274</v>
      </c>
      <c r="AD367" s="6">
        <v>45654</v>
      </c>
      <c r="AE367" s="8">
        <v>1908298</v>
      </c>
      <c r="AF367" s="8">
        <v>0</v>
      </c>
      <c r="AG367" s="8">
        <v>200750</v>
      </c>
      <c r="AH367" s="5">
        <f t="shared" si="86"/>
        <v>2109048</v>
      </c>
      <c r="AI367" s="8">
        <v>443000</v>
      </c>
      <c r="AJ367" s="8"/>
      <c r="AK367" s="5">
        <f t="shared" si="79"/>
        <v>2552048</v>
      </c>
      <c r="AM367" s="6">
        <v>46020</v>
      </c>
      <c r="AN367" s="8">
        <v>15565770</v>
      </c>
      <c r="AO367" s="8">
        <v>15900</v>
      </c>
      <c r="AP367" s="8">
        <v>0</v>
      </c>
      <c r="AQ367" s="5">
        <f t="shared" si="83"/>
        <v>15581670</v>
      </c>
      <c r="AR367" s="8">
        <v>655265</v>
      </c>
      <c r="AS367" s="5">
        <v>67800</v>
      </c>
      <c r="AT367" s="8">
        <f t="shared" si="78"/>
        <v>723065</v>
      </c>
      <c r="AU367" s="8">
        <v>90310</v>
      </c>
      <c r="AV367" s="5">
        <f t="shared" si="81"/>
        <v>16395045</v>
      </c>
      <c r="AX367" s="6">
        <v>46386</v>
      </c>
      <c r="BB367" s="5"/>
      <c r="BD367" s="5"/>
      <c r="BG367" s="5"/>
    </row>
    <row r="368" spans="1:59">
      <c r="M368" s="6">
        <v>44926</v>
      </c>
      <c r="N368" s="5">
        <v>403751</v>
      </c>
      <c r="O368" s="5">
        <v>421815</v>
      </c>
      <c r="P368" s="5">
        <v>63160</v>
      </c>
      <c r="Q368" s="5">
        <f t="shared" si="76"/>
        <v>888726</v>
      </c>
      <c r="R368" s="5">
        <v>29800</v>
      </c>
      <c r="S368" s="5">
        <f t="shared" si="85"/>
        <v>918526</v>
      </c>
      <c r="U368" s="6">
        <v>45290</v>
      </c>
      <c r="V368" s="8">
        <v>2126390</v>
      </c>
      <c r="W368" s="8">
        <v>553030</v>
      </c>
      <c r="X368" s="8">
        <v>73720</v>
      </c>
      <c r="Y368" s="26">
        <f t="shared" si="84"/>
        <v>2753140</v>
      </c>
      <c r="Z368" s="8">
        <v>412120</v>
      </c>
      <c r="AA368" s="8">
        <v>0</v>
      </c>
      <c r="AB368" s="8">
        <f t="shared" si="80"/>
        <v>3165260</v>
      </c>
      <c r="AD368" s="6">
        <v>45655</v>
      </c>
      <c r="AE368" s="8">
        <v>1846980</v>
      </c>
      <c r="AF368" s="8">
        <v>0</v>
      </c>
      <c r="AG368" s="8">
        <v>338740</v>
      </c>
      <c r="AH368" s="5">
        <f t="shared" si="86"/>
        <v>2185720</v>
      </c>
      <c r="AI368" s="8">
        <v>297370</v>
      </c>
      <c r="AJ368" s="8"/>
      <c r="AK368" s="5">
        <f t="shared" si="79"/>
        <v>2483090</v>
      </c>
      <c r="AM368" s="6">
        <v>46021</v>
      </c>
      <c r="AN368" s="8">
        <v>14833150</v>
      </c>
      <c r="AO368" s="8">
        <v>0</v>
      </c>
      <c r="AP368" s="8">
        <v>0</v>
      </c>
      <c r="AQ368" s="5">
        <f t="shared" si="83"/>
        <v>14833150</v>
      </c>
      <c r="AR368" s="8">
        <v>751430</v>
      </c>
      <c r="AS368" s="5">
        <v>241300</v>
      </c>
      <c r="AT368" s="8">
        <f t="shared" si="78"/>
        <v>992730</v>
      </c>
      <c r="AU368" s="8">
        <v>128260</v>
      </c>
      <c r="AV368" s="5">
        <f t="shared" si="81"/>
        <v>15954140</v>
      </c>
      <c r="AX368" s="6">
        <v>46387</v>
      </c>
      <c r="BB368" s="5"/>
      <c r="BD368" s="5"/>
      <c r="BG368" s="5"/>
    </row>
    <row r="369" spans="13:59">
      <c r="M369" s="6">
        <v>44927</v>
      </c>
      <c r="N369" s="5">
        <v>862823</v>
      </c>
      <c r="O369" s="5">
        <v>1131200</v>
      </c>
      <c r="P369" s="5">
        <v>117990</v>
      </c>
      <c r="Q369" s="5">
        <f t="shared" si="76"/>
        <v>2112013</v>
      </c>
      <c r="R369" s="5">
        <v>58600</v>
      </c>
      <c r="S369" s="5">
        <f t="shared" si="85"/>
        <v>2170613</v>
      </c>
      <c r="U369" s="6">
        <v>45291</v>
      </c>
      <c r="V369" s="8">
        <v>2828743</v>
      </c>
      <c r="W369" s="8">
        <v>803960</v>
      </c>
      <c r="X369" s="8">
        <v>87830</v>
      </c>
      <c r="Y369" s="26">
        <f t="shared" si="84"/>
        <v>3720533</v>
      </c>
      <c r="Z369" s="8">
        <v>664290</v>
      </c>
      <c r="AA369" s="8">
        <v>36900</v>
      </c>
      <c r="AB369" s="8">
        <f t="shared" si="80"/>
        <v>4421723</v>
      </c>
      <c r="AD369" s="6">
        <v>45656</v>
      </c>
      <c r="AE369" s="8">
        <v>6071287</v>
      </c>
      <c r="AF369" s="8">
        <v>126900</v>
      </c>
      <c r="AG369" s="8">
        <v>425460</v>
      </c>
      <c r="AH369" s="5">
        <f t="shared" si="86"/>
        <v>6623647</v>
      </c>
      <c r="AI369" s="8">
        <v>260520</v>
      </c>
      <c r="AJ369" s="8"/>
      <c r="AK369" s="5">
        <f t="shared" si="79"/>
        <v>6884167</v>
      </c>
      <c r="AM369" s="6">
        <v>46022</v>
      </c>
      <c r="AN369" s="8">
        <v>12617900</v>
      </c>
      <c r="AO369" s="8">
        <v>0</v>
      </c>
      <c r="AP369" s="8">
        <v>0</v>
      </c>
      <c r="AQ369" s="5">
        <f t="shared" si="83"/>
        <v>12617900</v>
      </c>
      <c r="AR369" s="8">
        <v>364710</v>
      </c>
      <c r="AS369" s="5">
        <v>165500</v>
      </c>
      <c r="AT369" s="8">
        <f t="shared" si="78"/>
        <v>530210</v>
      </c>
      <c r="AU369" s="8">
        <v>25000</v>
      </c>
      <c r="AV369" s="5">
        <f t="shared" si="81"/>
        <v>13173110</v>
      </c>
      <c r="AX369" s="6">
        <v>46388</v>
      </c>
      <c r="BB369" s="5"/>
      <c r="BD369" s="5"/>
      <c r="BG369" s="5"/>
    </row>
    <row r="370" spans="13:59">
      <c r="U370" s="6">
        <v>45292</v>
      </c>
      <c r="V370" s="8"/>
      <c r="W370" s="8"/>
      <c r="X370" s="8">
        <v>233140</v>
      </c>
      <c r="Y370" s="26"/>
      <c r="Z370" s="8">
        <v>1378680</v>
      </c>
      <c r="AA370" s="8">
        <v>0</v>
      </c>
      <c r="AB370" s="8">
        <f t="shared" si="80"/>
        <v>1378680</v>
      </c>
      <c r="AD370" s="6">
        <v>45657</v>
      </c>
      <c r="AE370" s="8">
        <v>6783008</v>
      </c>
      <c r="AF370" s="8">
        <v>1610810</v>
      </c>
      <c r="AG370" s="8">
        <v>264810</v>
      </c>
      <c r="AH370" s="5">
        <f t="shared" si="86"/>
        <v>8658628</v>
      </c>
      <c r="AI370" s="8">
        <v>305810</v>
      </c>
      <c r="AJ370" s="8"/>
      <c r="AK370" s="5">
        <f t="shared" si="79"/>
        <v>8964438</v>
      </c>
      <c r="AM370" s="6">
        <v>46023</v>
      </c>
      <c r="AN370" s="8">
        <v>166650</v>
      </c>
      <c r="AO370" s="8">
        <v>38700</v>
      </c>
      <c r="AP370" s="8">
        <v>0</v>
      </c>
      <c r="AQ370" s="5">
        <f t="shared" si="83"/>
        <v>205350</v>
      </c>
      <c r="AR370" s="8">
        <v>654650</v>
      </c>
      <c r="AS370" s="5">
        <v>173500</v>
      </c>
      <c r="AT370" s="8">
        <f t="shared" si="78"/>
        <v>828150</v>
      </c>
      <c r="AU370" s="8">
        <v>186580</v>
      </c>
      <c r="AV370" s="5">
        <f t="shared" si="81"/>
        <v>1220080</v>
      </c>
    </row>
    <row r="371" spans="13:59">
      <c r="AU371" s="8">
        <v>32630</v>
      </c>
    </row>
  </sheetData>
  <mergeCells count="29">
    <mergeCell ref="AX1:BG1"/>
    <mergeCell ref="AY2:BB2"/>
    <mergeCell ref="BC2:BE2"/>
    <mergeCell ref="BF2:BF3"/>
    <mergeCell ref="BG2:BG3"/>
    <mergeCell ref="AD1:AK1"/>
    <mergeCell ref="AE2:AH2"/>
    <mergeCell ref="AI2:AI3"/>
    <mergeCell ref="AJ2:AJ3"/>
    <mergeCell ref="AK2:AK3"/>
    <mergeCell ref="AM1:AV1"/>
    <mergeCell ref="AN2:AQ2"/>
    <mergeCell ref="AR2:AT2"/>
    <mergeCell ref="AU2:AU3"/>
    <mergeCell ref="AV2:AV3"/>
    <mergeCell ref="M1:S1"/>
    <mergeCell ref="N2:Q2"/>
    <mergeCell ref="R2:R3"/>
    <mergeCell ref="S2:S3"/>
    <mergeCell ref="U1:AB1"/>
    <mergeCell ref="V2:Y2"/>
    <mergeCell ref="Z2:Z3"/>
    <mergeCell ref="AA2:AA3"/>
    <mergeCell ref="AB2:AB3"/>
    <mergeCell ref="A1:C1"/>
    <mergeCell ref="A2:C2"/>
    <mergeCell ref="D2:D3"/>
    <mergeCell ref="F1:K1"/>
    <mergeCell ref="G2:K2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 MUD SCONE</dc:creator>
  <cp:lastModifiedBy>INC MUD SCONE</cp:lastModifiedBy>
  <dcterms:created xsi:type="dcterms:W3CDTF">2026-08-05T10:41:24Z</dcterms:created>
  <dcterms:modified xsi:type="dcterms:W3CDTF">2026-08-05T10:51:16Z</dcterms:modified>
</cp:coreProperties>
</file>